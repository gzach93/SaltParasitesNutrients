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gajewski/Documents/SaltParasitesNutrients/Data/Raw_Data/New 2023/"/>
    </mc:Choice>
  </mc:AlternateContent>
  <xr:revisionPtr revIDLastSave="0" documentId="13_ncr:1_{53986ED5-3058-4A43-970F-7499D9FAED0E}" xr6:coauthVersionLast="47" xr6:coauthVersionMax="47" xr10:uidLastSave="{00000000-0000-0000-0000-000000000000}"/>
  <bookViews>
    <workbookView xWindow="0" yWindow="760" windowWidth="29400" windowHeight="17200" xr2:uid="{A9D940ED-9FF8-F14D-9218-E923F5F9F596}"/>
  </bookViews>
  <sheets>
    <sheet name="Excretion" sheetId="2" r:id="rId1"/>
    <sheet name="FV3 TT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3" l="1"/>
  <c r="Q53" i="3"/>
  <c r="P53" i="3"/>
  <c r="O139" i="3" l="1"/>
  <c r="P139" i="3" s="1"/>
  <c r="Q139" i="3" s="1"/>
  <c r="R139" i="3" s="1"/>
  <c r="O138" i="3"/>
  <c r="P138" i="3" s="1"/>
  <c r="Q138" i="3" s="1"/>
  <c r="R138" i="3" s="1"/>
  <c r="O137" i="3"/>
  <c r="P137" i="3" s="1"/>
  <c r="Q137" i="3" s="1"/>
  <c r="R137" i="3" s="1"/>
  <c r="Q136" i="3"/>
  <c r="R136" i="3" s="1"/>
  <c r="O136" i="3"/>
  <c r="P136" i="3" s="1"/>
  <c r="O135" i="3"/>
  <c r="P135" i="3" s="1"/>
  <c r="Q135" i="3" s="1"/>
  <c r="R135" i="3" s="1"/>
  <c r="O134" i="3"/>
  <c r="P134" i="3" s="1"/>
  <c r="Q134" i="3" s="1"/>
  <c r="R134" i="3" s="1"/>
  <c r="O133" i="3"/>
  <c r="P133" i="3" s="1"/>
  <c r="Q133" i="3" s="1"/>
  <c r="Q132" i="3"/>
  <c r="R132" i="3" s="1"/>
  <c r="P132" i="3"/>
  <c r="O132" i="3"/>
  <c r="O131" i="3"/>
  <c r="P131" i="3" s="1"/>
  <c r="Q131" i="3" s="1"/>
  <c r="R131" i="3" s="1"/>
  <c r="P130" i="3"/>
  <c r="Q130" i="3" s="1"/>
  <c r="R130" i="3" s="1"/>
  <c r="O130" i="3"/>
  <c r="O129" i="3"/>
  <c r="P129" i="3" s="1"/>
  <c r="Q129" i="3" s="1"/>
  <c r="R129" i="3" s="1"/>
  <c r="Q128" i="3"/>
  <c r="R128" i="3" s="1"/>
  <c r="P128" i="3"/>
  <c r="O128" i="3"/>
  <c r="O127" i="3"/>
  <c r="P127" i="3" s="1"/>
  <c r="Q127" i="3" s="1"/>
  <c r="R127" i="3" s="1"/>
  <c r="P126" i="3"/>
  <c r="Q126" i="3" s="1"/>
  <c r="R126" i="3" s="1"/>
  <c r="O126" i="3"/>
  <c r="O125" i="3"/>
  <c r="P125" i="3" s="1"/>
  <c r="Q125" i="3" s="1"/>
  <c r="R125" i="3" s="1"/>
  <c r="Q124" i="3"/>
  <c r="R124" i="3" s="1"/>
  <c r="P124" i="3"/>
  <c r="O124" i="3"/>
  <c r="O123" i="3"/>
  <c r="P123" i="3" s="1"/>
  <c r="Q123" i="3" s="1"/>
  <c r="R123" i="3" s="1"/>
  <c r="P122" i="3"/>
  <c r="Q122" i="3" s="1"/>
  <c r="R122" i="3" s="1"/>
  <c r="O122" i="3"/>
  <c r="O121" i="3"/>
  <c r="P121" i="3" s="1"/>
  <c r="Q121" i="3" s="1"/>
  <c r="R121" i="3" s="1"/>
  <c r="Q120" i="3"/>
  <c r="R120" i="3" s="1"/>
  <c r="P120" i="3"/>
  <c r="O120" i="3"/>
  <c r="O119" i="3"/>
  <c r="P119" i="3" s="1"/>
  <c r="Q119" i="3" s="1"/>
  <c r="R119" i="3" s="1"/>
  <c r="P118" i="3"/>
  <c r="Q118" i="3" s="1"/>
  <c r="R118" i="3" s="1"/>
  <c r="O118" i="3"/>
  <c r="O117" i="3"/>
  <c r="P117" i="3" s="1"/>
  <c r="Q117" i="3" s="1"/>
  <c r="R117" i="3" s="1"/>
  <c r="Q116" i="3"/>
  <c r="R116" i="3" s="1"/>
  <c r="P116" i="3"/>
  <c r="O116" i="3"/>
  <c r="O115" i="3"/>
  <c r="P115" i="3" s="1"/>
  <c r="Q115" i="3" s="1"/>
  <c r="R115" i="3" s="1"/>
  <c r="P114" i="3"/>
  <c r="Q114" i="3" s="1"/>
  <c r="R114" i="3" s="1"/>
  <c r="O114" i="3"/>
  <c r="O113" i="3"/>
  <c r="P113" i="3" s="1"/>
  <c r="Q113" i="3" s="1"/>
  <c r="R113" i="3" s="1"/>
  <c r="Q112" i="3"/>
  <c r="R112" i="3" s="1"/>
  <c r="P112" i="3"/>
  <c r="O112" i="3"/>
  <c r="O111" i="3"/>
  <c r="P111" i="3" s="1"/>
  <c r="Q111" i="3" s="1"/>
  <c r="R111" i="3" s="1"/>
  <c r="P110" i="3"/>
  <c r="Q110" i="3" s="1"/>
  <c r="R110" i="3" s="1"/>
  <c r="O110" i="3"/>
  <c r="O109" i="3"/>
  <c r="P109" i="3" s="1"/>
  <c r="Q109" i="3" s="1"/>
  <c r="R109" i="3" s="1"/>
  <c r="Q108" i="3"/>
  <c r="R108" i="3" s="1"/>
  <c r="P108" i="3"/>
  <c r="O108" i="3"/>
  <c r="O107" i="3"/>
  <c r="P107" i="3" s="1"/>
  <c r="Q107" i="3" s="1"/>
  <c r="R107" i="3" s="1"/>
  <c r="P106" i="3"/>
  <c r="Q106" i="3" s="1"/>
  <c r="R106" i="3" s="1"/>
  <c r="O106" i="3"/>
  <c r="O105" i="3"/>
  <c r="P105" i="3" s="1"/>
  <c r="Q105" i="3" s="1"/>
  <c r="R105" i="3" s="1"/>
  <c r="Q104" i="3"/>
  <c r="R104" i="3" s="1"/>
  <c r="P104" i="3"/>
  <c r="O104" i="3"/>
  <c r="O103" i="3"/>
  <c r="P103" i="3" s="1"/>
  <c r="Q103" i="3" s="1"/>
  <c r="R103" i="3" s="1"/>
  <c r="P102" i="3"/>
  <c r="Q102" i="3" s="1"/>
  <c r="R102" i="3" s="1"/>
  <c r="O102" i="3"/>
  <c r="O101" i="3"/>
  <c r="P101" i="3" s="1"/>
  <c r="Q101" i="3" s="1"/>
  <c r="R101" i="3" s="1"/>
  <c r="Q100" i="3"/>
  <c r="R100" i="3" s="1"/>
  <c r="P100" i="3"/>
  <c r="O100" i="3"/>
  <c r="O99" i="3"/>
  <c r="P99" i="3" s="1"/>
  <c r="Q99" i="3" s="1"/>
  <c r="R99" i="3" s="1"/>
  <c r="P98" i="3"/>
  <c r="Q98" i="3" s="1"/>
  <c r="R98" i="3" s="1"/>
  <c r="O98" i="3"/>
  <c r="O97" i="3"/>
  <c r="P97" i="3" s="1"/>
  <c r="Q97" i="3" s="1"/>
  <c r="R97" i="3" s="1"/>
  <c r="Q96" i="3"/>
  <c r="R96" i="3" s="1"/>
  <c r="P96" i="3"/>
  <c r="O96" i="3"/>
  <c r="O95" i="3"/>
  <c r="P95" i="3" s="1"/>
  <c r="Q95" i="3" s="1"/>
  <c r="R95" i="3" s="1"/>
  <c r="P94" i="3"/>
  <c r="Q94" i="3" s="1"/>
  <c r="R94" i="3" s="1"/>
  <c r="O94" i="3"/>
  <c r="O93" i="3"/>
  <c r="P93" i="3" s="1"/>
  <c r="Q93" i="3" s="1"/>
  <c r="R93" i="3" s="1"/>
  <c r="Q92" i="3"/>
  <c r="R92" i="3" s="1"/>
  <c r="P92" i="3"/>
  <c r="O92" i="3"/>
  <c r="O91" i="3"/>
  <c r="P91" i="3" s="1"/>
  <c r="Q91" i="3" s="1"/>
  <c r="R91" i="3" s="1"/>
  <c r="P90" i="3"/>
  <c r="Q90" i="3" s="1"/>
  <c r="R90" i="3" s="1"/>
  <c r="O90" i="3"/>
  <c r="O89" i="3"/>
  <c r="P89" i="3" s="1"/>
  <c r="Q89" i="3" s="1"/>
  <c r="R89" i="3" s="1"/>
  <c r="Q88" i="3"/>
  <c r="R88" i="3" s="1"/>
  <c r="P88" i="3"/>
  <c r="O88" i="3"/>
  <c r="O87" i="3"/>
  <c r="P87" i="3" s="1"/>
  <c r="Q87" i="3" s="1"/>
  <c r="R87" i="3" s="1"/>
  <c r="P86" i="3"/>
  <c r="Q86" i="3" s="1"/>
  <c r="R86" i="3" s="1"/>
  <c r="O86" i="3"/>
  <c r="O85" i="3"/>
  <c r="P85" i="3" s="1"/>
  <c r="Q85" i="3" s="1"/>
  <c r="R85" i="3" s="1"/>
  <c r="Q84" i="3"/>
  <c r="R84" i="3" s="1"/>
  <c r="P84" i="3"/>
  <c r="O84" i="3"/>
  <c r="O83" i="3"/>
  <c r="P83" i="3" s="1"/>
  <c r="Q83" i="3" s="1"/>
  <c r="O82" i="3"/>
  <c r="P82" i="3" s="1"/>
  <c r="Q82" i="3" s="1"/>
  <c r="R82" i="3" s="1"/>
  <c r="O81" i="3"/>
  <c r="P81" i="3" s="1"/>
  <c r="Q81" i="3" s="1"/>
  <c r="R81" i="3" s="1"/>
  <c r="O80" i="3"/>
  <c r="P80" i="3" s="1"/>
  <c r="Q80" i="3" s="1"/>
  <c r="R80" i="3" s="1"/>
  <c r="O79" i="3"/>
  <c r="P79" i="3" s="1"/>
  <c r="Q79" i="3" s="1"/>
  <c r="R79" i="3" s="1"/>
  <c r="O78" i="3"/>
  <c r="P78" i="3" s="1"/>
  <c r="Q78" i="3" s="1"/>
  <c r="R78" i="3" s="1"/>
  <c r="O77" i="3"/>
  <c r="P77" i="3" s="1"/>
  <c r="Q77" i="3" s="1"/>
  <c r="R77" i="3" s="1"/>
  <c r="O76" i="3"/>
  <c r="P76" i="3" s="1"/>
  <c r="Q76" i="3" s="1"/>
  <c r="R76" i="3" s="1"/>
  <c r="O75" i="3"/>
  <c r="P75" i="3" s="1"/>
  <c r="Q75" i="3" s="1"/>
  <c r="R75" i="3" s="1"/>
  <c r="P74" i="3"/>
  <c r="Q74" i="3" s="1"/>
  <c r="R74" i="3" s="1"/>
  <c r="O74" i="3"/>
  <c r="O73" i="3"/>
  <c r="P73" i="3" s="1"/>
  <c r="Q73" i="3" s="1"/>
  <c r="R73" i="3" s="1"/>
  <c r="O72" i="3"/>
  <c r="P72" i="3" s="1"/>
  <c r="Q72" i="3" s="1"/>
  <c r="R72" i="3" s="1"/>
  <c r="O71" i="3"/>
  <c r="P71" i="3" s="1"/>
  <c r="Q71" i="3" s="1"/>
  <c r="R71" i="3" s="1"/>
  <c r="O70" i="3"/>
  <c r="P70" i="3" s="1"/>
  <c r="Q70" i="3" s="1"/>
  <c r="R70" i="3" s="1"/>
  <c r="O69" i="3"/>
  <c r="P69" i="3" s="1"/>
  <c r="Q69" i="3" s="1"/>
  <c r="R69" i="3" s="1"/>
  <c r="P68" i="3"/>
  <c r="Q68" i="3" s="1"/>
  <c r="R68" i="3" s="1"/>
  <c r="O68" i="3"/>
  <c r="O67" i="3"/>
  <c r="P67" i="3" s="1"/>
  <c r="Q67" i="3" s="1"/>
  <c r="R67" i="3" s="1"/>
  <c r="P66" i="3"/>
  <c r="Q66" i="3" s="1"/>
  <c r="R66" i="3" s="1"/>
  <c r="O66" i="3"/>
  <c r="O65" i="3"/>
  <c r="P65" i="3" s="1"/>
  <c r="Q65" i="3" s="1"/>
  <c r="R65" i="3" s="1"/>
  <c r="O64" i="3"/>
  <c r="P64" i="3" s="1"/>
  <c r="Q64" i="3" s="1"/>
  <c r="R64" i="3" s="1"/>
  <c r="O63" i="3"/>
  <c r="P63" i="3" s="1"/>
  <c r="Q63" i="3" s="1"/>
  <c r="R63" i="3" s="1"/>
  <c r="O62" i="3"/>
  <c r="P62" i="3" s="1"/>
  <c r="Q62" i="3" s="1"/>
  <c r="R62" i="3" s="1"/>
  <c r="O61" i="3"/>
  <c r="P61" i="3" s="1"/>
  <c r="Q61" i="3" s="1"/>
  <c r="R61" i="3" s="1"/>
  <c r="O60" i="3"/>
  <c r="P60" i="3" s="1"/>
  <c r="Q60" i="3" s="1"/>
  <c r="R60" i="3" s="1"/>
  <c r="O59" i="3"/>
  <c r="P59" i="3" s="1"/>
  <c r="Q59" i="3" s="1"/>
  <c r="R59" i="3" s="1"/>
  <c r="P58" i="3"/>
  <c r="Q58" i="3" s="1"/>
  <c r="R58" i="3" s="1"/>
  <c r="O58" i="3"/>
  <c r="O57" i="3"/>
  <c r="P57" i="3" s="1"/>
  <c r="Q57" i="3" s="1"/>
  <c r="R57" i="3" s="1"/>
  <c r="O56" i="3"/>
  <c r="P56" i="3" s="1"/>
  <c r="Q56" i="3" s="1"/>
  <c r="R56" i="3" s="1"/>
  <c r="O55" i="3"/>
  <c r="P55" i="3" s="1"/>
  <c r="Q55" i="3" s="1"/>
  <c r="R55" i="3" s="1"/>
  <c r="O54" i="3"/>
  <c r="P54" i="3" s="1"/>
  <c r="Q54" i="3" s="1"/>
  <c r="R54" i="3" s="1"/>
  <c r="O53" i="3"/>
  <c r="P52" i="3"/>
  <c r="Q52" i="3" s="1"/>
  <c r="R52" i="3" s="1"/>
  <c r="O52" i="3"/>
  <c r="O51" i="3"/>
  <c r="P51" i="3" s="1"/>
  <c r="Q51" i="3" s="1"/>
  <c r="R51" i="3" s="1"/>
  <c r="P50" i="3"/>
  <c r="Q50" i="3" s="1"/>
  <c r="R50" i="3" s="1"/>
  <c r="O50" i="3"/>
  <c r="O49" i="3"/>
  <c r="P49" i="3" s="1"/>
  <c r="Q49" i="3" s="1"/>
  <c r="R49" i="3" s="1"/>
  <c r="O48" i="3"/>
  <c r="P48" i="3" s="1"/>
  <c r="Q48" i="3" s="1"/>
  <c r="R48" i="3" s="1"/>
  <c r="O47" i="3"/>
  <c r="P47" i="3" s="1"/>
  <c r="Q47" i="3" s="1"/>
  <c r="R47" i="3" s="1"/>
  <c r="O46" i="3"/>
  <c r="P46" i="3" s="1"/>
  <c r="O45" i="3"/>
  <c r="P45" i="3" s="1"/>
  <c r="O44" i="3"/>
  <c r="P44" i="3" s="1"/>
  <c r="Q44" i="3" s="1"/>
  <c r="R44" i="3" s="1"/>
  <c r="O43" i="3"/>
  <c r="P43" i="3" s="1"/>
  <c r="Q43" i="3" s="1"/>
  <c r="R43" i="3" s="1"/>
  <c r="O42" i="3"/>
  <c r="P42" i="3" s="1"/>
  <c r="Q42" i="3" s="1"/>
  <c r="R42" i="3" s="1"/>
  <c r="P41" i="3"/>
  <c r="Q41" i="3" s="1"/>
  <c r="R41" i="3" s="1"/>
  <c r="O41" i="3"/>
  <c r="O40" i="3"/>
  <c r="P40" i="3" s="1"/>
  <c r="Q40" i="3" s="1"/>
  <c r="R40" i="3" s="1"/>
  <c r="P39" i="3"/>
  <c r="Q39" i="3" s="1"/>
  <c r="R39" i="3" s="1"/>
  <c r="O39" i="3"/>
  <c r="O38" i="3"/>
  <c r="P38" i="3" s="1"/>
  <c r="Q38" i="3" s="1"/>
  <c r="R38" i="3" s="1"/>
  <c r="O36" i="3"/>
  <c r="P36" i="3" s="1"/>
  <c r="Q36" i="3" s="1"/>
  <c r="R36" i="3" s="1"/>
  <c r="O35" i="3"/>
  <c r="P35" i="3" s="1"/>
  <c r="Q35" i="3" s="1"/>
  <c r="R35" i="3" s="1"/>
  <c r="O34" i="3"/>
  <c r="P34" i="3" s="1"/>
  <c r="Q34" i="3" s="1"/>
  <c r="R34" i="3" s="1"/>
  <c r="O33" i="3"/>
  <c r="P33" i="3" s="1"/>
  <c r="Q33" i="3" s="1"/>
  <c r="R33" i="3" s="1"/>
  <c r="O32" i="3"/>
  <c r="P32" i="3" s="1"/>
  <c r="Q32" i="3" s="1"/>
  <c r="R32" i="3" s="1"/>
  <c r="O31" i="3"/>
  <c r="P31" i="3" s="1"/>
  <c r="Q31" i="3" s="1"/>
  <c r="R31" i="3" s="1"/>
  <c r="P30" i="3"/>
  <c r="Q30" i="3" s="1"/>
  <c r="R30" i="3" s="1"/>
  <c r="O30" i="3"/>
  <c r="O29" i="3"/>
  <c r="P29" i="3" s="1"/>
  <c r="Q29" i="3" s="1"/>
  <c r="R29" i="3" s="1"/>
  <c r="O28" i="3"/>
  <c r="P28" i="3" s="1"/>
  <c r="Q28" i="3" s="1"/>
  <c r="R28" i="3" s="1"/>
  <c r="O27" i="3"/>
  <c r="P27" i="3" s="1"/>
  <c r="Q27" i="3" s="1"/>
  <c r="R27" i="3" s="1"/>
  <c r="O26" i="3"/>
  <c r="P26" i="3" s="1"/>
  <c r="Q26" i="3" s="1"/>
  <c r="R26" i="3" s="1"/>
  <c r="Q25" i="3"/>
  <c r="R25" i="3" s="1"/>
  <c r="O25" i="3"/>
  <c r="P25" i="3" s="1"/>
  <c r="O24" i="3"/>
  <c r="P24" i="3" s="1"/>
  <c r="Q24" i="3" s="1"/>
  <c r="R24" i="3" s="1"/>
  <c r="O23" i="3"/>
  <c r="P23" i="3" s="1"/>
  <c r="Q23" i="3" s="1"/>
  <c r="R23" i="3" s="1"/>
  <c r="O22" i="3"/>
  <c r="P22" i="3" s="1"/>
  <c r="Q22" i="3" s="1"/>
  <c r="R22" i="3" s="1"/>
  <c r="Q21" i="3"/>
  <c r="R21" i="3" s="1"/>
  <c r="O21" i="3"/>
  <c r="P21" i="3" s="1"/>
  <c r="O20" i="3"/>
  <c r="P20" i="3" s="1"/>
  <c r="Q20" i="3" s="1"/>
  <c r="R20" i="3" s="1"/>
  <c r="O19" i="3"/>
  <c r="P19" i="3" s="1"/>
  <c r="Q19" i="3" s="1"/>
  <c r="R19" i="3" s="1"/>
  <c r="O18" i="3"/>
  <c r="P18" i="3" s="1"/>
  <c r="Q18" i="3" s="1"/>
  <c r="R18" i="3" s="1"/>
  <c r="O17" i="3"/>
  <c r="O16" i="3"/>
  <c r="P16" i="3" s="1"/>
  <c r="Q16" i="3" s="1"/>
  <c r="R16" i="3" s="1"/>
  <c r="Q15" i="3"/>
  <c r="R15" i="3" s="1"/>
  <c r="P15" i="3"/>
  <c r="O15" i="3"/>
  <c r="O14" i="3"/>
  <c r="P14" i="3" s="1"/>
  <c r="Q14" i="3" s="1"/>
  <c r="R14" i="3" s="1"/>
  <c r="Q13" i="3"/>
  <c r="R13" i="3" s="1"/>
  <c r="P13" i="3"/>
  <c r="O13" i="3"/>
  <c r="R12" i="3"/>
  <c r="O12" i="3"/>
  <c r="P12" i="3" s="1"/>
  <c r="Q12" i="3" s="1"/>
  <c r="P11" i="3"/>
  <c r="Q11" i="3" s="1"/>
  <c r="R11" i="3" s="1"/>
  <c r="O11" i="3"/>
  <c r="R10" i="3"/>
  <c r="O10" i="3"/>
  <c r="P10" i="3" s="1"/>
  <c r="Q10" i="3" s="1"/>
  <c r="P9" i="3"/>
  <c r="Q9" i="3" s="1"/>
  <c r="R9" i="3" s="1"/>
  <c r="O9" i="3"/>
  <c r="O8" i="3"/>
  <c r="P8" i="3" s="1"/>
  <c r="Q8" i="3" s="1"/>
  <c r="R8" i="3" s="1"/>
  <c r="Q7" i="3"/>
  <c r="R7" i="3" s="1"/>
  <c r="P7" i="3"/>
  <c r="O7" i="3"/>
  <c r="O6" i="3"/>
  <c r="P6" i="3" s="1"/>
  <c r="Q6" i="3" s="1"/>
  <c r="R6" i="3" s="1"/>
  <c r="P5" i="3"/>
  <c r="Q5" i="3" s="1"/>
  <c r="R5" i="3" s="1"/>
  <c r="O5" i="3"/>
  <c r="R4" i="3"/>
  <c r="O4" i="3"/>
  <c r="P4" i="3" s="1"/>
  <c r="Q4" i="3" s="1"/>
  <c r="P3" i="3"/>
  <c r="Q3" i="3" s="1"/>
  <c r="R3" i="3" s="1"/>
  <c r="O3" i="3"/>
  <c r="O2" i="3"/>
  <c r="P2" i="3" s="1"/>
  <c r="Q2" i="3" s="1"/>
  <c r="R2" i="3" s="1"/>
</calcChain>
</file>

<file path=xl/sharedStrings.xml><?xml version="1.0" encoding="utf-8"?>
<sst xmlns="http://schemas.openxmlformats.org/spreadsheetml/2006/main" count="783" uniqueCount="109">
  <si>
    <t>#</t>
  </si>
  <si>
    <t>Stage</t>
  </si>
  <si>
    <t xml:space="preserve">Log Viral Load </t>
  </si>
  <si>
    <t>186 Hr</t>
  </si>
  <si>
    <t>180 Hr</t>
  </si>
  <si>
    <t>218 Hr</t>
  </si>
  <si>
    <t>192 Hr</t>
  </si>
  <si>
    <t>289 Hr</t>
  </si>
  <si>
    <t>144 Hr</t>
  </si>
  <si>
    <t>198 Hr</t>
  </si>
  <si>
    <t>128 Hr</t>
  </si>
  <si>
    <t>40 Hr</t>
  </si>
  <si>
    <t>234 Hr</t>
  </si>
  <si>
    <t>174 Hr</t>
  </si>
  <si>
    <t>102 Hr</t>
  </si>
  <si>
    <t>150 Hr</t>
  </si>
  <si>
    <t>158 Hr</t>
  </si>
  <si>
    <t>226 Hr</t>
  </si>
  <si>
    <t>156 Hr</t>
  </si>
  <si>
    <t>204 Hr</t>
  </si>
  <si>
    <t>122 Hr</t>
  </si>
  <si>
    <t>142 Hr</t>
  </si>
  <si>
    <t>164 Hr</t>
  </si>
  <si>
    <t>138 Hr</t>
  </si>
  <si>
    <t>146 Hr</t>
  </si>
  <si>
    <t>130 Hr</t>
  </si>
  <si>
    <t>154 Hr</t>
  </si>
  <si>
    <t>160 Hr</t>
  </si>
  <si>
    <t>136 Hr</t>
  </si>
  <si>
    <t>140 Hr</t>
  </si>
  <si>
    <t>134 Hr</t>
  </si>
  <si>
    <t>132 Hr</t>
  </si>
  <si>
    <t>110 Hr</t>
  </si>
  <si>
    <t>152 Hr</t>
  </si>
  <si>
    <t xml:space="preserve">152 Hr </t>
  </si>
  <si>
    <t>166 Hr</t>
  </si>
  <si>
    <t>Y</t>
  </si>
  <si>
    <t xml:space="preserve">TRL </t>
  </si>
  <si>
    <t>Population</t>
  </si>
  <si>
    <t>Species</t>
  </si>
  <si>
    <t>Pickerel</t>
  </si>
  <si>
    <t>Toad</t>
  </si>
  <si>
    <t>WF</t>
  </si>
  <si>
    <t xml:space="preserve">Avg Mass Extra Individuals (g) </t>
  </si>
  <si>
    <t>TRL</t>
  </si>
  <si>
    <t>STB</t>
  </si>
  <si>
    <t>SEW</t>
  </si>
  <si>
    <t>MIN</t>
  </si>
  <si>
    <t>RR</t>
  </si>
  <si>
    <t>SQR</t>
  </si>
  <si>
    <t>Chorus</t>
  </si>
  <si>
    <t xml:space="preserve">Pickerel </t>
  </si>
  <si>
    <t>N</t>
  </si>
  <si>
    <t>SVL (mm)</t>
  </si>
  <si>
    <t>Mass (g)</t>
  </si>
  <si>
    <t xml:space="preserve">Stage </t>
  </si>
  <si>
    <t>A260/280</t>
  </si>
  <si>
    <t>A260/230</t>
  </si>
  <si>
    <t>Cq1</t>
  </si>
  <si>
    <t>Cq2</t>
  </si>
  <si>
    <t>SQ1</t>
  </si>
  <si>
    <t>SQ2</t>
  </si>
  <si>
    <t>Viral Load (copies/ng)</t>
  </si>
  <si>
    <t>Liquid Liver</t>
  </si>
  <si>
    <t>Euthanized</t>
  </si>
  <si>
    <t xml:space="preserve">Intestines out </t>
  </si>
  <si>
    <t>Very liquidly liver</t>
  </si>
  <si>
    <t>MISSING SAMPLE</t>
  </si>
  <si>
    <t>Exposed intestines/liver - liquidy</t>
  </si>
  <si>
    <t xml:space="preserve">Euthanized </t>
  </si>
  <si>
    <t xml:space="preserve">Liquid Liver </t>
  </si>
  <si>
    <t>Euthanized - Liquid Liver</t>
  </si>
  <si>
    <t>Species/Population</t>
  </si>
  <si>
    <t>Survival (Hr)</t>
  </si>
  <si>
    <t>Notes</t>
  </si>
  <si>
    <t>Nucleic Acid(ng/uL)</t>
  </si>
  <si>
    <t>A260/A280</t>
  </si>
  <si>
    <t>A260/A230</t>
  </si>
  <si>
    <t xml:space="preserve">Cq 1 </t>
  </si>
  <si>
    <t>Cq 2</t>
  </si>
  <si>
    <t xml:space="preserve">Avg SQ </t>
  </si>
  <si>
    <t>Con. to 200uL</t>
  </si>
  <si>
    <t>PICKEREL RV</t>
  </si>
  <si>
    <t xml:space="preserve"> </t>
  </si>
  <si>
    <t>CH RV</t>
  </si>
  <si>
    <t>Intestines exposed and liquid liver</t>
  </si>
  <si>
    <t>TOAD RV</t>
  </si>
  <si>
    <t>247 Hr</t>
  </si>
  <si>
    <t>STB RV</t>
  </si>
  <si>
    <t>Organs exposed</t>
  </si>
  <si>
    <t>Exposed Intestines</t>
  </si>
  <si>
    <t>SQR RV</t>
  </si>
  <si>
    <t>TRL RV</t>
  </si>
  <si>
    <t xml:space="preserve">Missing </t>
  </si>
  <si>
    <t>MIN RV</t>
  </si>
  <si>
    <t>Intestines are out of body</t>
  </si>
  <si>
    <t>SEW RV</t>
  </si>
  <si>
    <t>RR RV</t>
  </si>
  <si>
    <t>NH4_ugL</t>
  </si>
  <si>
    <t>SRP_ugL</t>
  </si>
  <si>
    <t>TTD_Mass_g</t>
  </si>
  <si>
    <t>SVL_mm</t>
  </si>
  <si>
    <t>TTD_Hr</t>
  </si>
  <si>
    <t>FV3</t>
  </si>
  <si>
    <t>ind</t>
  </si>
  <si>
    <t>Nucleic Acid_ng_uL</t>
  </si>
  <si>
    <t>NA</t>
  </si>
  <si>
    <t>Missing Sample</t>
  </si>
  <si>
    <t>no qPCR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</si>
</sst>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000;\-###0.00000"/>
    <numFmt numFmtId="165" formatCode="###0.00;\-###0.00"/>
  </numFmts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2"/>
      <name val="Times New Roman"/>
      <family val="1"/>
    </font>
    <font>
      <sz val="8.25"/>
      <name val="Microsoft Sans Serif"/>
      <family val="2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1F1DA"/>
        <bgColor rgb="FFFFFFFF"/>
      </patternFill>
    </fill>
    <fill>
      <patternFill patternType="solid">
        <fgColor rgb="FFD1F1DA"/>
        <bgColor rgb="FF00000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/>
    </xf>
    <xf numFmtId="2" fontId="6" fillId="5" borderId="2" xfId="0" applyNumberFormat="1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2" fontId="6" fillId="11" borderId="2" xfId="0" applyNumberFormat="1" applyFon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2" fontId="2" fillId="13" borderId="2" xfId="0" applyNumberFormat="1" applyFont="1" applyFill="1" applyBorder="1" applyAlignment="1">
      <alignment horizontal="center" vertical="center"/>
    </xf>
    <xf numFmtId="2" fontId="6" fillId="13" borderId="2" xfId="0" applyNumberFormat="1" applyFont="1" applyFill="1" applyBorder="1" applyAlignment="1">
      <alignment horizontal="center" vertical="center"/>
    </xf>
    <xf numFmtId="1" fontId="6" fillId="13" borderId="2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2" fontId="2" fillId="15" borderId="2" xfId="0" applyNumberFormat="1" applyFont="1" applyFill="1" applyBorder="1" applyAlignment="1">
      <alignment horizontal="center" vertical="center"/>
    </xf>
    <xf numFmtId="2" fontId="6" fillId="15" borderId="2" xfId="0" applyNumberFormat="1" applyFont="1" applyFill="1" applyBorder="1" applyAlignment="1">
      <alignment horizontal="center" vertical="center"/>
    </xf>
    <xf numFmtId="1" fontId="6" fillId="15" borderId="2" xfId="0" applyNumberFormat="1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vertical="center"/>
    </xf>
    <xf numFmtId="0" fontId="5" fillId="16" borderId="0" xfId="0" applyFont="1" applyFill="1" applyAlignment="1">
      <alignment vertical="center"/>
    </xf>
    <xf numFmtId="0" fontId="5" fillId="16" borderId="4" xfId="0" applyFont="1" applyFill="1" applyBorder="1" applyAlignment="1">
      <alignment vertical="center"/>
    </xf>
    <xf numFmtId="2" fontId="2" fillId="8" borderId="0" xfId="0" applyNumberFormat="1" applyFont="1" applyFill="1" applyAlignment="1">
      <alignment horizontal="center" vertical="center"/>
    </xf>
    <xf numFmtId="1" fontId="2" fillId="8" borderId="0" xfId="0" applyNumberFormat="1" applyFont="1" applyFill="1" applyAlignment="1">
      <alignment horizontal="center"/>
    </xf>
    <xf numFmtId="0" fontId="5" fillId="17" borderId="2" xfId="0" applyFont="1" applyFill="1" applyBorder="1" applyAlignment="1">
      <alignment horizontal="center" vertical="center"/>
    </xf>
    <xf numFmtId="2" fontId="2" fillId="18" borderId="2" xfId="0" applyNumberFormat="1" applyFont="1" applyFill="1" applyBorder="1" applyAlignment="1">
      <alignment horizontal="center"/>
    </xf>
    <xf numFmtId="2" fontId="6" fillId="18" borderId="2" xfId="0" applyNumberFormat="1" applyFont="1" applyFill="1" applyBorder="1" applyAlignment="1">
      <alignment horizontal="center" vertical="center"/>
    </xf>
    <xf numFmtId="1" fontId="6" fillId="18" borderId="2" xfId="0" applyNumberFormat="1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2" fontId="2" fillId="21" borderId="2" xfId="0" applyNumberFormat="1" applyFont="1" applyFill="1" applyBorder="1" applyAlignment="1">
      <alignment horizontal="center" vertical="center"/>
    </xf>
    <xf numFmtId="1" fontId="2" fillId="21" borderId="2" xfId="0" applyNumberFormat="1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vertical="center"/>
    </xf>
    <xf numFmtId="0" fontId="2" fillId="2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1" fontId="2" fillId="8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 wrapText="1"/>
    </xf>
    <xf numFmtId="0" fontId="2" fillId="23" borderId="2" xfId="0" applyFont="1" applyFill="1" applyBorder="1" applyAlignment="1">
      <alignment horizontal="center"/>
    </xf>
    <xf numFmtId="11" fontId="2" fillId="2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49" fontId="7" fillId="0" borderId="0" xfId="0" applyNumberFormat="1" applyFont="1" applyAlignment="1">
      <alignment vertical="center"/>
    </xf>
    <xf numFmtId="0" fontId="2" fillId="26" borderId="2" xfId="0" applyFont="1" applyFill="1" applyBorder="1" applyAlignment="1">
      <alignment horizontal="center" vertical="center"/>
    </xf>
    <xf numFmtId="0" fontId="2" fillId="24" borderId="5" xfId="0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center"/>
    </xf>
    <xf numFmtId="11" fontId="2" fillId="8" borderId="0" xfId="0" applyNumberFormat="1" applyFont="1" applyFill="1" applyAlignment="1">
      <alignment horizontal="center"/>
    </xf>
    <xf numFmtId="11" fontId="2" fillId="8" borderId="0" xfId="0" applyNumberFormat="1" applyFont="1" applyFill="1" applyAlignment="1">
      <alignment horizontal="center" vertical="center"/>
    </xf>
    <xf numFmtId="0" fontId="2" fillId="22" borderId="2" xfId="0" applyFont="1" applyFill="1" applyBorder="1" applyAlignment="1">
      <alignment horizontal="center"/>
    </xf>
    <xf numFmtId="11" fontId="2" fillId="3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 vertical="center"/>
    </xf>
    <xf numFmtId="11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2" fillId="19" borderId="2" xfId="0" applyFont="1" applyFill="1" applyBorder="1" applyAlignment="1">
      <alignment horizontal="center"/>
    </xf>
    <xf numFmtId="11" fontId="2" fillId="4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/>
    <xf numFmtId="2" fontId="2" fillId="4" borderId="2" xfId="0" applyNumberFormat="1" applyFont="1" applyFill="1" applyBorder="1" applyAlignment="1">
      <alignment horizontal="center"/>
    </xf>
    <xf numFmtId="0" fontId="2" fillId="28" borderId="2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/>
    </xf>
    <xf numFmtId="11" fontId="2" fillId="21" borderId="2" xfId="0" applyNumberFormat="1" applyFont="1" applyFill="1" applyBorder="1" applyAlignment="1">
      <alignment horizontal="center"/>
    </xf>
    <xf numFmtId="1" fontId="2" fillId="21" borderId="2" xfId="0" applyNumberFormat="1" applyFont="1" applyFill="1" applyBorder="1"/>
    <xf numFmtId="2" fontId="2" fillId="21" borderId="2" xfId="0" applyNumberFormat="1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 vertical="center"/>
    </xf>
    <xf numFmtId="0" fontId="2" fillId="28" borderId="6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/>
    </xf>
    <xf numFmtId="1" fontId="2" fillId="8" borderId="0" xfId="0" applyNumberFormat="1" applyFont="1" applyFill="1"/>
    <xf numFmtId="0" fontId="2" fillId="19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11" fontId="2" fillId="5" borderId="2" xfId="0" applyNumberFormat="1" applyFont="1" applyFill="1" applyBorder="1" applyAlignment="1">
      <alignment horizontal="center"/>
    </xf>
    <xf numFmtId="1" fontId="2" fillId="5" borderId="2" xfId="0" applyNumberFormat="1" applyFont="1" applyFill="1" applyBorder="1"/>
    <xf numFmtId="0" fontId="5" fillId="0" borderId="0" xfId="0" applyFont="1"/>
    <xf numFmtId="0" fontId="5" fillId="30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/>
    </xf>
    <xf numFmtId="11" fontId="2" fillId="18" borderId="2" xfId="0" applyNumberFormat="1" applyFont="1" applyFill="1" applyBorder="1" applyAlignment="1">
      <alignment horizontal="center"/>
    </xf>
    <xf numFmtId="1" fontId="2" fillId="18" borderId="2" xfId="0" applyNumberFormat="1" applyFont="1" applyFill="1" applyBorder="1"/>
    <xf numFmtId="0" fontId="5" fillId="31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11" fontId="2" fillId="7" borderId="2" xfId="0" applyNumberFormat="1" applyFont="1" applyFill="1" applyBorder="1" applyAlignment="1">
      <alignment horizontal="center"/>
    </xf>
    <xf numFmtId="1" fontId="2" fillId="7" borderId="2" xfId="0" applyNumberFormat="1" applyFont="1" applyFill="1" applyBorder="1"/>
    <xf numFmtId="11" fontId="2" fillId="7" borderId="2" xfId="0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5" fillId="32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11" fontId="2" fillId="13" borderId="2" xfId="0" applyNumberFormat="1" applyFont="1" applyFill="1" applyBorder="1" applyAlignment="1">
      <alignment horizontal="center"/>
    </xf>
    <xf numFmtId="1" fontId="2" fillId="13" borderId="2" xfId="0" applyNumberFormat="1" applyFont="1" applyFill="1" applyBorder="1"/>
    <xf numFmtId="11" fontId="2" fillId="13" borderId="2" xfId="0" applyNumberFormat="1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/>
    </xf>
    <xf numFmtId="11" fontId="2" fillId="11" borderId="2" xfId="0" applyNumberFormat="1" applyFont="1" applyFill="1" applyBorder="1" applyAlignment="1">
      <alignment horizontal="center"/>
    </xf>
    <xf numFmtId="1" fontId="2" fillId="11" borderId="2" xfId="0" applyNumberFormat="1" applyFont="1" applyFill="1" applyBorder="1"/>
    <xf numFmtId="11" fontId="2" fillId="11" borderId="2" xfId="0" applyNumberFormat="1" applyFont="1" applyFill="1" applyBorder="1" applyAlignment="1">
      <alignment horizontal="center" vertical="center"/>
    </xf>
    <xf numFmtId="0" fontId="5" fillId="3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/>
    </xf>
    <xf numFmtId="11" fontId="2" fillId="15" borderId="2" xfId="0" applyNumberFormat="1" applyFont="1" applyFill="1" applyBorder="1" applyAlignment="1">
      <alignment horizontal="center"/>
    </xf>
    <xf numFmtId="1" fontId="2" fillId="15" borderId="2" xfId="0" applyNumberFormat="1" applyFont="1" applyFill="1" applyBorder="1"/>
    <xf numFmtId="11" fontId="2" fillId="15" borderId="2" xfId="0" applyNumberFormat="1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2" fontId="2" fillId="35" borderId="2" xfId="0" applyNumberFormat="1" applyFont="1" applyFill="1" applyBorder="1" applyAlignment="1">
      <alignment horizontal="center"/>
    </xf>
    <xf numFmtId="2" fontId="6" fillId="36" borderId="2" xfId="0" applyNumberFormat="1" applyFont="1" applyFill="1" applyBorder="1" applyAlignment="1">
      <alignment horizontal="center" vertical="center"/>
    </xf>
    <xf numFmtId="1" fontId="6" fillId="36" borderId="2" xfId="0" applyNumberFormat="1" applyFont="1" applyFill="1" applyBorder="1" applyAlignment="1">
      <alignment horizontal="center" vertical="center"/>
    </xf>
    <xf numFmtId="11" fontId="2" fillId="36" borderId="2" xfId="0" applyNumberFormat="1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5" fillId="32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/>
    </xf>
    <xf numFmtId="1" fontId="6" fillId="0" borderId="1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3" xfId="0" applyNumberFormat="1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70D4-32EE-504C-8AFA-8148DE4B606B}">
  <dimension ref="A1:S121"/>
  <sheetViews>
    <sheetView tabSelected="1" zoomScaleNormal="80" workbookViewId="0">
      <pane ySplit="1" topLeftCell="A2" activePane="bottomLeft" state="frozen"/>
      <selection pane="bottomLeft" activeCell="G118" sqref="G118"/>
    </sheetView>
  </sheetViews>
  <sheetFormatPr baseColWidth="10" defaultRowHeight="16" x14ac:dyDescent="0.2"/>
  <cols>
    <col min="1" max="1" width="4.83203125" style="158" customWidth="1"/>
    <col min="2" max="2" width="7.5" style="158" bestFit="1" customWidth="1"/>
    <col min="3" max="3" width="12.6640625" style="158" customWidth="1"/>
    <col min="4" max="4" width="12.5" style="158" customWidth="1"/>
    <col min="5" max="5" width="9.83203125" style="158" customWidth="1"/>
    <col min="6" max="6" width="8.5" style="158" bestFit="1" customWidth="1"/>
    <col min="7" max="8" width="8.33203125" style="158" customWidth="1"/>
    <col min="9" max="9" width="11" style="158" customWidth="1"/>
    <col min="10" max="11" width="6.83203125" style="158" customWidth="1"/>
    <col min="12" max="13" width="8.33203125" style="158" customWidth="1"/>
    <col min="14" max="15" width="18.33203125" style="158" bestFit="1" customWidth="1"/>
    <col min="16" max="16" width="11.5" style="158" customWidth="1"/>
    <col min="17" max="18" width="11" style="158" bestFit="1" customWidth="1"/>
    <col min="19" max="16384" width="10.83203125" style="158"/>
  </cols>
  <sheetData>
    <row r="1" spans="1:19" s="149" customFormat="1" ht="68" x14ac:dyDescent="0.2">
      <c r="A1" s="148" t="s">
        <v>104</v>
      </c>
      <c r="B1" s="148" t="s">
        <v>39</v>
      </c>
      <c r="C1" s="148" t="s">
        <v>38</v>
      </c>
      <c r="D1" s="148" t="s">
        <v>103</v>
      </c>
      <c r="E1" s="148" t="s">
        <v>102</v>
      </c>
      <c r="F1" s="148" t="s">
        <v>101</v>
      </c>
      <c r="G1" s="148" t="s">
        <v>100</v>
      </c>
      <c r="H1" s="148" t="s">
        <v>55</v>
      </c>
      <c r="I1" s="148" t="s">
        <v>105</v>
      </c>
      <c r="J1" s="148" t="s">
        <v>56</v>
      </c>
      <c r="K1" s="148" t="s">
        <v>57</v>
      </c>
      <c r="L1" s="148" t="s">
        <v>58</v>
      </c>
      <c r="M1" s="148" t="s">
        <v>59</v>
      </c>
      <c r="N1" s="148" t="s">
        <v>60</v>
      </c>
      <c r="O1" s="149" t="s">
        <v>61</v>
      </c>
      <c r="P1" s="150" t="s">
        <v>98</v>
      </c>
      <c r="Q1" s="150" t="s">
        <v>99</v>
      </c>
      <c r="R1" s="148" t="s">
        <v>43</v>
      </c>
      <c r="S1" s="149" t="s">
        <v>74</v>
      </c>
    </row>
    <row r="2" spans="1:19" s="157" customFormat="1" ht="15.75" customHeight="1" x14ac:dyDescent="0.2">
      <c r="A2" s="151">
        <v>24</v>
      </c>
      <c r="B2" s="151" t="s">
        <v>42</v>
      </c>
      <c r="C2" s="151" t="s">
        <v>37</v>
      </c>
      <c r="D2" s="152" t="s">
        <v>36</v>
      </c>
      <c r="E2" s="152">
        <v>140</v>
      </c>
      <c r="F2" s="151">
        <v>11.08</v>
      </c>
      <c r="G2" s="151">
        <v>0.2268</v>
      </c>
      <c r="H2" s="151">
        <v>35</v>
      </c>
      <c r="I2" s="153">
        <v>105.742</v>
      </c>
      <c r="J2" s="153">
        <v>1.958</v>
      </c>
      <c r="K2" s="153">
        <v>1.0629999999999999</v>
      </c>
      <c r="L2" s="153">
        <v>13.53</v>
      </c>
      <c r="M2" s="154">
        <v>13.2969923970598</v>
      </c>
      <c r="N2" s="155">
        <v>216287375.02522901</v>
      </c>
      <c r="O2" s="156">
        <v>250492903.92175099</v>
      </c>
      <c r="P2" s="152">
        <v>98.682000000000002</v>
      </c>
      <c r="Q2" s="152">
        <v>33.436</v>
      </c>
      <c r="R2" s="152">
        <v>0.25373333300000001</v>
      </c>
    </row>
    <row r="3" spans="1:19" s="157" customFormat="1" ht="15.75" customHeight="1" x14ac:dyDescent="0.2">
      <c r="A3" s="151">
        <v>52</v>
      </c>
      <c r="B3" s="151" t="s">
        <v>42</v>
      </c>
      <c r="C3" s="151" t="s">
        <v>37</v>
      </c>
      <c r="D3" s="152" t="s">
        <v>36</v>
      </c>
      <c r="E3" s="152">
        <v>128</v>
      </c>
      <c r="F3" s="151">
        <v>9.7799999999999994</v>
      </c>
      <c r="G3" s="151">
        <v>0.17150000000000001</v>
      </c>
      <c r="H3" s="151">
        <v>32</v>
      </c>
      <c r="I3" s="153">
        <v>90.350999999999999</v>
      </c>
      <c r="J3" s="153">
        <v>1.9379999999999999</v>
      </c>
      <c r="K3" s="153">
        <v>1.137</v>
      </c>
      <c r="L3" s="154">
        <v>12.399005836181599</v>
      </c>
      <c r="M3" s="154">
        <v>12.670717467683099</v>
      </c>
      <c r="N3" s="155">
        <v>442888213.24852198</v>
      </c>
      <c r="O3" s="156">
        <v>372740241.33573103</v>
      </c>
      <c r="P3" s="152">
        <v>55.741</v>
      </c>
      <c r="Q3" s="152">
        <v>13.115</v>
      </c>
      <c r="R3" s="152">
        <v>0.25373333300000001</v>
      </c>
    </row>
    <row r="4" spans="1:19" s="157" customFormat="1" ht="15.75" customHeight="1" x14ac:dyDescent="0.2">
      <c r="A4" s="152">
        <v>69</v>
      </c>
      <c r="B4" s="152" t="s">
        <v>42</v>
      </c>
      <c r="C4" s="152" t="s">
        <v>44</v>
      </c>
      <c r="D4" s="152" t="s">
        <v>36</v>
      </c>
      <c r="E4" s="152">
        <v>128</v>
      </c>
      <c r="F4" s="151">
        <v>11.84</v>
      </c>
      <c r="G4" s="151">
        <v>0.25969999999999999</v>
      </c>
      <c r="H4" s="151">
        <v>35</v>
      </c>
      <c r="I4" s="153">
        <v>14.374000000000001</v>
      </c>
      <c r="J4" s="153">
        <v>1.7250000000000001</v>
      </c>
      <c r="K4" s="153">
        <v>0.38400000000000001</v>
      </c>
      <c r="L4" s="154">
        <v>22.146340834106599</v>
      </c>
      <c r="M4" s="154">
        <v>21.9020666249376</v>
      </c>
      <c r="N4" s="155">
        <v>1185491.63547823</v>
      </c>
      <c r="O4" s="156">
        <v>1390282.9276506701</v>
      </c>
      <c r="P4" s="152">
        <v>61.497999999999998</v>
      </c>
      <c r="Q4" s="152">
        <v>18.664999999999999</v>
      </c>
      <c r="R4" s="152">
        <v>0.25373333300000001</v>
      </c>
    </row>
    <row r="5" spans="1:19" s="157" customFormat="1" ht="15.75" customHeight="1" x14ac:dyDescent="0.2">
      <c r="A5" s="151">
        <v>76</v>
      </c>
      <c r="B5" s="151" t="s">
        <v>42</v>
      </c>
      <c r="C5" s="151" t="s">
        <v>37</v>
      </c>
      <c r="D5" s="152" t="s">
        <v>36</v>
      </c>
      <c r="E5" s="152">
        <v>130</v>
      </c>
      <c r="F5" s="157" t="s">
        <v>106</v>
      </c>
      <c r="G5" s="157" t="s">
        <v>106</v>
      </c>
      <c r="H5" s="157" t="s">
        <v>106</v>
      </c>
      <c r="I5" s="157" t="s">
        <v>106</v>
      </c>
      <c r="J5" s="157" t="s">
        <v>106</v>
      </c>
      <c r="K5" s="157" t="s">
        <v>106</v>
      </c>
      <c r="L5" s="157" t="s">
        <v>106</v>
      </c>
      <c r="M5" s="157" t="s">
        <v>106</v>
      </c>
      <c r="N5" s="157" t="s">
        <v>106</v>
      </c>
      <c r="O5" s="157" t="s">
        <v>106</v>
      </c>
      <c r="P5" s="152">
        <v>98.641999999999996</v>
      </c>
      <c r="Q5" s="152">
        <v>21.79</v>
      </c>
      <c r="R5" s="152">
        <v>0.25373333300000001</v>
      </c>
      <c r="S5" s="157" t="s">
        <v>107</v>
      </c>
    </row>
    <row r="6" spans="1:19" s="157" customFormat="1" ht="15.75" customHeight="1" x14ac:dyDescent="0.2">
      <c r="A6" s="151">
        <v>136</v>
      </c>
      <c r="B6" s="151" t="s">
        <v>42</v>
      </c>
      <c r="C6" s="151" t="s">
        <v>37</v>
      </c>
      <c r="D6" s="152" t="s">
        <v>36</v>
      </c>
      <c r="E6" s="152">
        <v>130</v>
      </c>
      <c r="F6" s="151">
        <v>10.37</v>
      </c>
      <c r="G6" s="151">
        <v>0.224</v>
      </c>
      <c r="H6" s="151">
        <v>33</v>
      </c>
      <c r="I6" s="153">
        <v>43.603999999999999</v>
      </c>
      <c r="J6" s="153">
        <v>1.909</v>
      </c>
      <c r="K6" s="153">
        <v>0.71599999999999997</v>
      </c>
      <c r="L6" s="154">
        <v>15.74</v>
      </c>
      <c r="M6" s="154">
        <v>15.8154908740711</v>
      </c>
      <c r="N6" s="155">
        <v>53048054.342025302</v>
      </c>
      <c r="O6" s="156">
        <v>50659291.091315404</v>
      </c>
      <c r="P6" s="152">
        <v>108.02800000000001</v>
      </c>
      <c r="Q6" s="152">
        <v>19.276</v>
      </c>
      <c r="R6" s="152">
        <v>0.25373333300000001</v>
      </c>
    </row>
    <row r="7" spans="1:19" s="157" customFormat="1" ht="15.75" customHeight="1" x14ac:dyDescent="0.2">
      <c r="A7" s="151">
        <v>165</v>
      </c>
      <c r="B7" s="151" t="s">
        <v>42</v>
      </c>
      <c r="C7" s="151" t="s">
        <v>37</v>
      </c>
      <c r="D7" s="152" t="s">
        <v>36</v>
      </c>
      <c r="E7" s="152">
        <v>138</v>
      </c>
      <c r="F7" s="151">
        <v>10.63</v>
      </c>
      <c r="G7" s="151">
        <v>0.2394</v>
      </c>
      <c r="H7" s="151">
        <v>35</v>
      </c>
      <c r="I7" s="153">
        <v>90.566999999999993</v>
      </c>
      <c r="J7" s="153">
        <v>1.9550000000000001</v>
      </c>
      <c r="K7" s="153">
        <v>1.1559999999999999</v>
      </c>
      <c r="L7" s="154">
        <v>13.7446085057757</v>
      </c>
      <c r="M7" s="154">
        <v>13.95</v>
      </c>
      <c r="N7" s="155">
        <v>376405697.78321201</v>
      </c>
      <c r="O7" s="156">
        <v>380478645.43671</v>
      </c>
      <c r="P7" s="152">
        <v>193.16300000000001</v>
      </c>
      <c r="Q7" s="152">
        <v>22.247</v>
      </c>
      <c r="R7" s="152">
        <v>0.25373333300000001</v>
      </c>
    </row>
    <row r="8" spans="1:19" s="157" customFormat="1" ht="16" customHeight="1" x14ac:dyDescent="0.2">
      <c r="A8" s="151">
        <v>181</v>
      </c>
      <c r="B8" s="151" t="s">
        <v>42</v>
      </c>
      <c r="C8" s="151" t="s">
        <v>37</v>
      </c>
      <c r="D8" s="152" t="s">
        <v>36</v>
      </c>
      <c r="E8" s="152">
        <v>136</v>
      </c>
      <c r="F8" s="151">
        <v>9.4499999999999993</v>
      </c>
      <c r="G8" s="151">
        <v>0.1714</v>
      </c>
      <c r="H8" s="151">
        <v>34</v>
      </c>
      <c r="I8" s="153">
        <v>81.903999999999996</v>
      </c>
      <c r="J8" s="153">
        <v>2.0699999999999998</v>
      </c>
      <c r="K8" s="153">
        <v>1.2430000000000001</v>
      </c>
      <c r="L8" s="154">
        <v>15.222599566513599</v>
      </c>
      <c r="M8" s="154">
        <v>15.26</v>
      </c>
      <c r="N8" s="155">
        <v>125351185.258275</v>
      </c>
      <c r="O8" s="156">
        <v>134946522.56772199</v>
      </c>
      <c r="P8" s="152">
        <v>110.52</v>
      </c>
      <c r="Q8" s="152">
        <v>14.948</v>
      </c>
      <c r="R8" s="152">
        <v>0.25373333300000001</v>
      </c>
    </row>
    <row r="9" spans="1:19" s="157" customFormat="1" ht="15.75" customHeight="1" x14ac:dyDescent="0.2">
      <c r="A9" s="151">
        <v>220</v>
      </c>
      <c r="B9" s="151" t="s">
        <v>42</v>
      </c>
      <c r="C9" s="151" t="s">
        <v>37</v>
      </c>
      <c r="D9" s="152" t="s">
        <v>36</v>
      </c>
      <c r="E9" s="152">
        <v>128</v>
      </c>
      <c r="F9" s="151">
        <v>7.02</v>
      </c>
      <c r="G9" s="151">
        <v>8.0199999999999994E-2</v>
      </c>
      <c r="H9" s="151">
        <v>28</v>
      </c>
      <c r="I9" s="153">
        <v>32.883000000000003</v>
      </c>
      <c r="J9" s="153">
        <v>1.8859999999999999</v>
      </c>
      <c r="K9" s="153">
        <v>0.82499999999999996</v>
      </c>
      <c r="L9" s="153"/>
      <c r="M9" s="153"/>
      <c r="N9" s="155">
        <v>69730609.7585776</v>
      </c>
      <c r="O9" s="156">
        <v>90619963.890320003</v>
      </c>
      <c r="P9" s="152">
        <v>43.534999999999997</v>
      </c>
      <c r="Q9" s="152">
        <v>6.9260000000000002</v>
      </c>
      <c r="R9" s="152">
        <v>0.25373333300000001</v>
      </c>
    </row>
    <row r="10" spans="1:19" s="157" customFormat="1" ht="15.75" customHeight="1" x14ac:dyDescent="0.2">
      <c r="A10" s="151">
        <v>229</v>
      </c>
      <c r="B10" s="151" t="s">
        <v>42</v>
      </c>
      <c r="C10" s="151" t="s">
        <v>37</v>
      </c>
      <c r="D10" s="152" t="s">
        <v>36</v>
      </c>
      <c r="E10" s="152">
        <v>142</v>
      </c>
      <c r="F10" s="151">
        <v>9.5</v>
      </c>
      <c r="G10" s="151">
        <v>0.1938</v>
      </c>
      <c r="H10" s="151">
        <v>35</v>
      </c>
      <c r="I10" s="153">
        <v>94.783000000000001</v>
      </c>
      <c r="J10" s="153">
        <v>1.9570000000000001</v>
      </c>
      <c r="K10" s="153">
        <v>1.218</v>
      </c>
      <c r="L10" s="154">
        <v>12.6473702676575</v>
      </c>
      <c r="M10" s="154">
        <v>12.800429079672901</v>
      </c>
      <c r="N10" s="155">
        <v>634948747.78487003</v>
      </c>
      <c r="O10" s="156">
        <v>567884750.76405394</v>
      </c>
      <c r="P10" s="152">
        <v>70.813000000000002</v>
      </c>
      <c r="Q10" s="152">
        <v>6.367</v>
      </c>
      <c r="R10" s="152">
        <v>0.25373333300000001</v>
      </c>
    </row>
    <row r="11" spans="1:19" s="157" customFormat="1" ht="15.75" customHeight="1" x14ac:dyDescent="0.2">
      <c r="A11" s="151">
        <v>258</v>
      </c>
      <c r="B11" s="151" t="s">
        <v>42</v>
      </c>
      <c r="C11" s="151" t="s">
        <v>37</v>
      </c>
      <c r="D11" s="152" t="s">
        <v>36</v>
      </c>
      <c r="E11" s="152">
        <v>128</v>
      </c>
      <c r="F11" s="151">
        <v>10.67</v>
      </c>
      <c r="G11" s="151">
        <v>0.23369999999999999</v>
      </c>
      <c r="H11" s="151">
        <v>35</v>
      </c>
      <c r="I11" s="153">
        <v>154.52799999999999</v>
      </c>
      <c r="J11" s="153">
        <v>1.9570000000000001</v>
      </c>
      <c r="K11" s="153">
        <v>1.4530000000000001</v>
      </c>
      <c r="L11" s="154">
        <v>11.082142276169</v>
      </c>
      <c r="M11" s="154">
        <v>11.028067510233701</v>
      </c>
      <c r="N11" s="155">
        <v>1731201932.4674599</v>
      </c>
      <c r="O11" s="156">
        <v>1538260596.73227</v>
      </c>
      <c r="P11" s="152">
        <v>102.86</v>
      </c>
      <c r="Q11" s="152">
        <v>9.5109999999999992</v>
      </c>
      <c r="R11" s="152">
        <v>0.25373333300000001</v>
      </c>
    </row>
    <row r="12" spans="1:19" x14ac:dyDescent="0.2">
      <c r="A12" s="152">
        <v>27</v>
      </c>
      <c r="B12" s="152" t="s">
        <v>42</v>
      </c>
      <c r="C12" s="152" t="s">
        <v>45</v>
      </c>
      <c r="D12" s="152" t="s">
        <v>36</v>
      </c>
      <c r="E12" s="152">
        <v>128</v>
      </c>
      <c r="F12" s="151">
        <v>8.1199999999999992</v>
      </c>
      <c r="G12" s="151">
        <v>0.1212</v>
      </c>
      <c r="H12" s="151">
        <v>32</v>
      </c>
      <c r="I12" s="153">
        <v>86.182000000000002</v>
      </c>
      <c r="J12" s="153">
        <v>1.9139999999999999</v>
      </c>
      <c r="K12" s="153">
        <v>1.0609999999999999</v>
      </c>
      <c r="L12" s="154">
        <v>14.704169286908799</v>
      </c>
      <c r="M12" s="154">
        <v>14.885643021005899</v>
      </c>
      <c r="N12" s="155">
        <v>102554841.309655</v>
      </c>
      <c r="O12" s="156">
        <v>91398539.850911602</v>
      </c>
      <c r="P12" s="152">
        <v>68.308000000000007</v>
      </c>
      <c r="Q12" s="152">
        <v>9.23</v>
      </c>
      <c r="R12" s="152">
        <v>0.30826666699999999</v>
      </c>
    </row>
    <row r="13" spans="1:19" x14ac:dyDescent="0.2">
      <c r="A13" s="152">
        <v>56</v>
      </c>
      <c r="B13" s="152" t="s">
        <v>42</v>
      </c>
      <c r="C13" s="152" t="s">
        <v>45</v>
      </c>
      <c r="D13" s="152" t="s">
        <v>36</v>
      </c>
      <c r="E13" s="152">
        <v>128</v>
      </c>
      <c r="F13" s="151">
        <v>10.050000000000001</v>
      </c>
      <c r="G13" s="151">
        <v>0.23350000000000001</v>
      </c>
      <c r="H13" s="151">
        <v>33</v>
      </c>
      <c r="I13" s="153">
        <v>144.90299999999999</v>
      </c>
      <c r="J13" s="153">
        <v>1.9870000000000001</v>
      </c>
      <c r="K13" s="153">
        <v>1.2749999999999999</v>
      </c>
      <c r="L13" s="154">
        <v>13.812753951260399</v>
      </c>
      <c r="M13" s="154">
        <v>13.670307068170199</v>
      </c>
      <c r="N13" s="155">
        <v>180569224.41964999</v>
      </c>
      <c r="O13" s="156">
        <v>197653382.43320999</v>
      </c>
      <c r="P13" s="152">
        <v>186.441</v>
      </c>
      <c r="Q13" s="152">
        <v>38.863</v>
      </c>
      <c r="R13" s="152">
        <v>0.30826666699999999</v>
      </c>
    </row>
    <row r="14" spans="1:19" x14ac:dyDescent="0.2">
      <c r="A14" s="152">
        <v>128</v>
      </c>
      <c r="B14" s="152" t="s">
        <v>42</v>
      </c>
      <c r="C14" s="152" t="s">
        <v>45</v>
      </c>
      <c r="D14" s="152" t="s">
        <v>36</v>
      </c>
      <c r="E14" s="152">
        <v>138</v>
      </c>
      <c r="F14" s="151">
        <v>10.07</v>
      </c>
      <c r="G14" s="151">
        <v>0.20930000000000001</v>
      </c>
      <c r="H14" s="151">
        <v>31</v>
      </c>
      <c r="I14" s="153">
        <v>72.254000000000005</v>
      </c>
      <c r="J14" s="153">
        <v>1.764</v>
      </c>
      <c r="K14" s="153">
        <v>0.63700000000000001</v>
      </c>
      <c r="L14" s="154">
        <v>16.505480166901599</v>
      </c>
      <c r="M14" s="154">
        <v>16.586734857778399</v>
      </c>
      <c r="N14" s="155">
        <v>32695471.908750799</v>
      </c>
      <c r="O14" s="156">
        <v>31052215.167559002</v>
      </c>
      <c r="P14" s="152">
        <v>180.12</v>
      </c>
      <c r="Q14" s="152">
        <v>36.972000000000001</v>
      </c>
      <c r="R14" s="152">
        <v>0.30826666699999999</v>
      </c>
    </row>
    <row r="15" spans="1:19" x14ac:dyDescent="0.2">
      <c r="A15" s="152">
        <v>179</v>
      </c>
      <c r="B15" s="152" t="s">
        <v>42</v>
      </c>
      <c r="C15" s="152" t="s">
        <v>45</v>
      </c>
      <c r="D15" s="152" t="s">
        <v>36</v>
      </c>
      <c r="E15" s="152">
        <v>128</v>
      </c>
      <c r="F15" s="151">
        <v>9.66</v>
      </c>
      <c r="G15" s="151">
        <v>0.1961</v>
      </c>
      <c r="H15" s="151">
        <v>34</v>
      </c>
      <c r="I15" s="153">
        <v>186.001</v>
      </c>
      <c r="J15" s="153">
        <v>1.9830000000000001</v>
      </c>
      <c r="K15" s="153">
        <v>1.5529999999999999</v>
      </c>
      <c r="L15" s="154">
        <v>10.171677302008399</v>
      </c>
      <c r="M15" s="154">
        <v>10.5444563978731</v>
      </c>
      <c r="N15" s="155">
        <v>1820453524.9690101</v>
      </c>
      <c r="O15" s="156">
        <v>1436931389.9935601</v>
      </c>
      <c r="P15" s="152">
        <v>152.613</v>
      </c>
      <c r="Q15" s="152">
        <v>33.795999999999999</v>
      </c>
      <c r="R15" s="152">
        <v>0.30826666699999999</v>
      </c>
    </row>
    <row r="16" spans="1:19" x14ac:dyDescent="0.2">
      <c r="A16" s="152">
        <v>188</v>
      </c>
      <c r="B16" s="152" t="s">
        <v>42</v>
      </c>
      <c r="C16" s="152" t="s">
        <v>45</v>
      </c>
      <c r="D16" s="152" t="s">
        <v>36</v>
      </c>
      <c r="E16" s="152">
        <v>146</v>
      </c>
      <c r="F16" s="151">
        <v>10.39</v>
      </c>
      <c r="G16" s="151">
        <v>0.24049999999999999</v>
      </c>
      <c r="H16" s="151">
        <v>35</v>
      </c>
      <c r="I16" s="153">
        <v>150.66999999999999</v>
      </c>
      <c r="J16" s="153">
        <v>1.9410000000000001</v>
      </c>
      <c r="K16" s="153">
        <v>1.153</v>
      </c>
      <c r="L16" s="154">
        <v>13.7282817070114</v>
      </c>
      <c r="M16" s="154">
        <v>13.7006484440184</v>
      </c>
      <c r="N16" s="155">
        <v>190513415.20449999</v>
      </c>
      <c r="O16" s="156">
        <v>193883882.64006501</v>
      </c>
      <c r="P16" s="152">
        <v>195.20500000000001</v>
      </c>
      <c r="Q16" s="152">
        <v>26.597999999999999</v>
      </c>
      <c r="R16" s="152">
        <v>0.30826666699999999</v>
      </c>
    </row>
    <row r="17" spans="1:18" x14ac:dyDescent="0.2">
      <c r="A17" s="152">
        <v>230</v>
      </c>
      <c r="B17" s="152" t="s">
        <v>42</v>
      </c>
      <c r="C17" s="152" t="s">
        <v>45</v>
      </c>
      <c r="D17" s="152" t="s">
        <v>36</v>
      </c>
      <c r="E17" s="152">
        <v>142</v>
      </c>
      <c r="F17" s="151">
        <v>10.65</v>
      </c>
      <c r="G17" s="151">
        <v>0.30549999999999999</v>
      </c>
      <c r="H17" s="151">
        <v>36</v>
      </c>
      <c r="I17" s="153">
        <v>212.851</v>
      </c>
      <c r="J17" s="153">
        <v>2.0569999999999999</v>
      </c>
      <c r="K17" s="153">
        <v>1.383</v>
      </c>
      <c r="L17" s="154">
        <v>14.8877041792417</v>
      </c>
      <c r="M17" s="154">
        <v>15.032404227594</v>
      </c>
      <c r="N17" s="155">
        <v>91279062.566180006</v>
      </c>
      <c r="O17" s="156">
        <v>83270207.454607606</v>
      </c>
      <c r="P17" s="152">
        <v>267.18900000000002</v>
      </c>
      <c r="Q17" s="152">
        <v>44.741</v>
      </c>
      <c r="R17" s="152">
        <v>0.30826666699999999</v>
      </c>
    </row>
    <row r="18" spans="1:18" x14ac:dyDescent="0.2">
      <c r="A18" s="152">
        <v>233</v>
      </c>
      <c r="B18" s="152" t="s">
        <v>42</v>
      </c>
      <c r="C18" s="152" t="s">
        <v>45</v>
      </c>
      <c r="D18" s="152" t="s">
        <v>36</v>
      </c>
      <c r="E18" s="152">
        <v>144</v>
      </c>
      <c r="F18" s="151">
        <v>10.8</v>
      </c>
      <c r="G18" s="151">
        <v>0.28699999999999998</v>
      </c>
      <c r="H18" s="151">
        <v>36</v>
      </c>
      <c r="I18" s="153">
        <v>121.553</v>
      </c>
      <c r="J18" s="153">
        <v>1.978</v>
      </c>
      <c r="K18" s="153">
        <v>1.077</v>
      </c>
      <c r="L18" s="154">
        <v>16.331080318382298</v>
      </c>
      <c r="M18" s="154">
        <v>16.3772584680537</v>
      </c>
      <c r="N18" s="155">
        <v>36522024.998879999</v>
      </c>
      <c r="O18" s="156">
        <v>35467244.762899697</v>
      </c>
      <c r="P18" s="152">
        <v>210.64500000000001</v>
      </c>
      <c r="Q18" s="152">
        <v>35.335999999999999</v>
      </c>
      <c r="R18" s="152">
        <v>0.30826666699999999</v>
      </c>
    </row>
    <row r="19" spans="1:18" x14ac:dyDescent="0.2">
      <c r="A19" s="152">
        <v>252</v>
      </c>
      <c r="B19" s="152" t="s">
        <v>42</v>
      </c>
      <c r="C19" s="152" t="s">
        <v>45</v>
      </c>
      <c r="D19" s="152" t="s">
        <v>36</v>
      </c>
      <c r="E19" s="152">
        <v>128</v>
      </c>
      <c r="F19" s="151">
        <v>10.49</v>
      </c>
      <c r="G19" s="151">
        <v>0.223</v>
      </c>
      <c r="H19" s="151">
        <v>33</v>
      </c>
      <c r="I19" s="153">
        <v>115.64700000000001</v>
      </c>
      <c r="J19" s="153">
        <v>1.9410000000000001</v>
      </c>
      <c r="K19" s="153">
        <v>1.147</v>
      </c>
      <c r="L19" s="154">
        <v>13.0664758856518</v>
      </c>
      <c r="M19" s="154">
        <v>13.019019452698901</v>
      </c>
      <c r="N19" s="155">
        <v>289954109.84670001</v>
      </c>
      <c r="O19" s="156">
        <v>298819531.46196002</v>
      </c>
      <c r="P19" s="152">
        <v>193.846</v>
      </c>
      <c r="Q19" s="152">
        <v>26.588000000000001</v>
      </c>
      <c r="R19" s="152">
        <v>0.30826666699999999</v>
      </c>
    </row>
    <row r="20" spans="1:18" x14ac:dyDescent="0.2">
      <c r="A20" s="152">
        <v>259</v>
      </c>
      <c r="B20" s="152" t="s">
        <v>42</v>
      </c>
      <c r="C20" s="152" t="s">
        <v>45</v>
      </c>
      <c r="D20" s="152" t="s">
        <v>36</v>
      </c>
      <c r="E20" s="152">
        <v>130</v>
      </c>
      <c r="F20" s="151">
        <v>8.49</v>
      </c>
      <c r="G20" s="151">
        <v>0.18779999999999999</v>
      </c>
      <c r="H20" s="151">
        <v>31</v>
      </c>
      <c r="I20" s="153">
        <v>64.298000000000002</v>
      </c>
      <c r="J20" s="153">
        <v>1.821</v>
      </c>
      <c r="K20" s="153">
        <v>0.68200000000000005</v>
      </c>
      <c r="L20" s="154">
        <v>17.0096728882212</v>
      </c>
      <c r="M20" s="154">
        <v>17.163534389467198</v>
      </c>
      <c r="N20" s="155">
        <v>23742391.436099999</v>
      </c>
      <c r="O20" s="156">
        <v>21533662.453583099</v>
      </c>
      <c r="P20" s="152">
        <v>128.696</v>
      </c>
      <c r="Q20" s="152">
        <v>27.391999999999999</v>
      </c>
      <c r="R20" s="152">
        <v>0.30826666699999999</v>
      </c>
    </row>
    <row r="21" spans="1:18" x14ac:dyDescent="0.2">
      <c r="A21" s="152">
        <v>275</v>
      </c>
      <c r="B21" s="152" t="s">
        <v>42</v>
      </c>
      <c r="C21" s="152" t="s">
        <v>45</v>
      </c>
      <c r="D21" s="152" t="s">
        <v>36</v>
      </c>
      <c r="E21" s="152">
        <v>128</v>
      </c>
      <c r="F21" s="151">
        <v>10.97</v>
      </c>
      <c r="G21" s="151">
        <v>0.3982</v>
      </c>
      <c r="H21" s="151">
        <v>35</v>
      </c>
      <c r="I21" s="153">
        <v>102.282</v>
      </c>
      <c r="J21" s="153">
        <v>1.8839999999999999</v>
      </c>
      <c r="K21" s="153">
        <v>0.79500000000000004</v>
      </c>
      <c r="L21" s="154">
        <v>15.4171326751162</v>
      </c>
      <c r="M21" s="154">
        <v>15.7486489947587</v>
      </c>
      <c r="N21" s="155">
        <v>65230793.320040002</v>
      </c>
      <c r="O21" s="156">
        <v>52854472.435458601</v>
      </c>
      <c r="P21" s="152">
        <v>97.265000000000001</v>
      </c>
      <c r="Q21" s="152">
        <v>17.776</v>
      </c>
      <c r="R21" s="152">
        <v>0.30826666699999999</v>
      </c>
    </row>
    <row r="22" spans="1:18" x14ac:dyDescent="0.2">
      <c r="A22" s="152">
        <v>8</v>
      </c>
      <c r="B22" s="152" t="s">
        <v>42</v>
      </c>
      <c r="C22" s="152" t="s">
        <v>46</v>
      </c>
      <c r="D22" s="152" t="s">
        <v>36</v>
      </c>
      <c r="E22" s="152">
        <v>152</v>
      </c>
      <c r="F22" s="151">
        <v>10.01</v>
      </c>
      <c r="G22" s="151">
        <v>0.20979999999999999</v>
      </c>
      <c r="H22" s="151">
        <v>34</v>
      </c>
      <c r="I22" s="153">
        <v>91.56</v>
      </c>
      <c r="J22" s="153">
        <v>1.8480000000000001</v>
      </c>
      <c r="K22" s="153">
        <v>0.90800000000000003</v>
      </c>
      <c r="L22" s="154">
        <v>12.1243506242416</v>
      </c>
      <c r="M22" s="154">
        <v>12.770406192217401</v>
      </c>
      <c r="N22" s="155">
        <v>597379866.05895901</v>
      </c>
      <c r="O22" s="156">
        <v>667838558.76794505</v>
      </c>
      <c r="P22" s="152">
        <v>96.677000000000007</v>
      </c>
      <c r="Q22" s="152">
        <v>14.566000000000001</v>
      </c>
      <c r="R22" s="152">
        <v>0.25703333299999997</v>
      </c>
    </row>
    <row r="23" spans="1:18" x14ac:dyDescent="0.2">
      <c r="A23" s="152">
        <v>41</v>
      </c>
      <c r="B23" s="152" t="s">
        <v>42</v>
      </c>
      <c r="C23" s="152" t="s">
        <v>46</v>
      </c>
      <c r="D23" s="152" t="s">
        <v>36</v>
      </c>
      <c r="E23" s="152">
        <v>132</v>
      </c>
      <c r="F23" s="151">
        <v>8.61</v>
      </c>
      <c r="G23" s="151">
        <v>0.17499999999999999</v>
      </c>
      <c r="H23" s="151">
        <v>33</v>
      </c>
      <c r="I23" s="153">
        <v>38.177999999999997</v>
      </c>
      <c r="J23" s="153">
        <v>1.885</v>
      </c>
      <c r="K23" s="153">
        <v>0.58699999999999997</v>
      </c>
      <c r="L23" s="154">
        <v>16.272190655059202</v>
      </c>
      <c r="M23" s="154">
        <v>16.322746594121401</v>
      </c>
      <c r="N23" s="155">
        <v>54712784.706330597</v>
      </c>
      <c r="O23" s="156">
        <v>52937807.0817708</v>
      </c>
      <c r="P23" s="152">
        <v>149.16800000000001</v>
      </c>
      <c r="Q23" s="152">
        <v>19.565000000000001</v>
      </c>
      <c r="R23" s="152">
        <v>0.25703333299999997</v>
      </c>
    </row>
    <row r="24" spans="1:18" x14ac:dyDescent="0.2">
      <c r="A24" s="152">
        <v>47</v>
      </c>
      <c r="B24" s="152" t="s">
        <v>42</v>
      </c>
      <c r="C24" s="152" t="s">
        <v>46</v>
      </c>
      <c r="D24" s="152" t="s">
        <v>36</v>
      </c>
      <c r="E24" s="152">
        <v>128</v>
      </c>
      <c r="F24" s="151">
        <v>9.32</v>
      </c>
      <c r="G24" s="151">
        <v>0.20610000000000001</v>
      </c>
      <c r="H24" s="151">
        <v>35</v>
      </c>
      <c r="I24" s="153">
        <v>68.796000000000006</v>
      </c>
      <c r="J24" s="153">
        <v>1.9390000000000001</v>
      </c>
      <c r="K24" s="153">
        <v>0.89600000000000002</v>
      </c>
      <c r="L24" s="154">
        <v>17.163898617531999</v>
      </c>
      <c r="M24" s="154">
        <v>17.213307567340902</v>
      </c>
      <c r="N24" s="155">
        <v>37151561.279093601</v>
      </c>
      <c r="O24" s="156">
        <v>37561867.108969003</v>
      </c>
      <c r="P24" s="152">
        <v>133.03200000000001</v>
      </c>
      <c r="Q24" s="152">
        <v>9.5020000000000007</v>
      </c>
      <c r="R24" s="152">
        <v>0.25703333299999997</v>
      </c>
    </row>
    <row r="25" spans="1:18" x14ac:dyDescent="0.2">
      <c r="A25" s="152">
        <v>125</v>
      </c>
      <c r="B25" s="152" t="s">
        <v>42</v>
      </c>
      <c r="C25" s="152" t="s">
        <v>46</v>
      </c>
      <c r="D25" s="152" t="s">
        <v>36</v>
      </c>
      <c r="E25" s="152">
        <v>128</v>
      </c>
      <c r="F25" s="151">
        <v>9.4600000000000009</v>
      </c>
      <c r="G25" s="151">
        <v>0.19439999999999999</v>
      </c>
      <c r="H25" s="151">
        <v>34</v>
      </c>
      <c r="I25" s="153">
        <v>139.34</v>
      </c>
      <c r="J25" s="153">
        <v>1.925</v>
      </c>
      <c r="K25" s="153">
        <v>1.254</v>
      </c>
      <c r="L25" s="154">
        <v>12.387196955710101</v>
      </c>
      <c r="M25" s="154">
        <v>12.5562861896328</v>
      </c>
      <c r="N25" s="155">
        <v>628784578.53164804</v>
      </c>
      <c r="O25" s="156">
        <v>710574721.900612</v>
      </c>
      <c r="P25" s="152">
        <v>62.378</v>
      </c>
      <c r="Q25" s="152">
        <v>5.4809999999999999</v>
      </c>
      <c r="R25" s="152">
        <v>0.25703333299999997</v>
      </c>
    </row>
    <row r="26" spans="1:18" x14ac:dyDescent="0.2">
      <c r="A26" s="152">
        <v>134</v>
      </c>
      <c r="B26" s="152" t="s">
        <v>42</v>
      </c>
      <c r="C26" s="152" t="s">
        <v>46</v>
      </c>
      <c r="D26" s="152" t="s">
        <v>36</v>
      </c>
      <c r="E26" s="152">
        <v>144</v>
      </c>
      <c r="F26" s="151">
        <v>10.01</v>
      </c>
      <c r="G26" s="151">
        <v>0.1835</v>
      </c>
      <c r="H26" s="151">
        <v>34</v>
      </c>
      <c r="I26" s="153">
        <v>77.888000000000005</v>
      </c>
      <c r="J26" s="153">
        <v>1.8620000000000001</v>
      </c>
      <c r="K26" s="153">
        <v>0.82599999999999996</v>
      </c>
      <c r="L26" s="154">
        <v>16.155591765176901</v>
      </c>
      <c r="M26" s="154">
        <v>16.691393868928301</v>
      </c>
      <c r="N26" s="155">
        <v>77879043.338257194</v>
      </c>
      <c r="O26" s="156">
        <v>86954759.060927093</v>
      </c>
      <c r="P26" s="152">
        <v>86.772000000000006</v>
      </c>
      <c r="Q26" s="152">
        <v>21.745000000000001</v>
      </c>
      <c r="R26" s="152">
        <v>0.25703333299999997</v>
      </c>
    </row>
    <row r="27" spans="1:18" x14ac:dyDescent="0.2">
      <c r="A27" s="152">
        <v>137</v>
      </c>
      <c r="B27" s="152" t="s">
        <v>42</v>
      </c>
      <c r="C27" s="152" t="s">
        <v>46</v>
      </c>
      <c r="D27" s="152" t="s">
        <v>36</v>
      </c>
      <c r="E27" s="152">
        <v>152</v>
      </c>
      <c r="F27" s="151">
        <v>10.37</v>
      </c>
      <c r="G27" s="151">
        <v>0.2084</v>
      </c>
      <c r="H27" s="151">
        <v>34</v>
      </c>
      <c r="I27" s="153">
        <v>107.056</v>
      </c>
      <c r="J27" s="153">
        <v>1.8089999999999999</v>
      </c>
      <c r="K27" s="153">
        <v>0.85499999999999998</v>
      </c>
      <c r="L27" s="154">
        <v>15.219636041159401</v>
      </c>
      <c r="M27" s="154">
        <v>15.2206920047257</v>
      </c>
      <c r="N27" s="155">
        <v>146929794.036376</v>
      </c>
      <c r="O27" s="156">
        <v>178104408.29883999</v>
      </c>
      <c r="P27" s="152">
        <v>112.16249999999999</v>
      </c>
      <c r="Q27" s="152">
        <v>17.39</v>
      </c>
      <c r="R27" s="152">
        <v>0.25703333299999997</v>
      </c>
    </row>
    <row r="28" spans="1:18" x14ac:dyDescent="0.2">
      <c r="A28" s="152">
        <v>145</v>
      </c>
      <c r="B28" s="152" t="s">
        <v>42</v>
      </c>
      <c r="C28" s="152" t="s">
        <v>46</v>
      </c>
      <c r="D28" s="152" t="s">
        <v>36</v>
      </c>
      <c r="E28" s="152">
        <v>144</v>
      </c>
      <c r="F28" s="151">
        <v>9.7200000000000006</v>
      </c>
      <c r="G28" s="151">
        <v>0.1817</v>
      </c>
      <c r="H28" s="151">
        <v>33</v>
      </c>
      <c r="I28" s="153">
        <v>63.274000000000001</v>
      </c>
      <c r="J28" s="153">
        <v>1.825</v>
      </c>
      <c r="K28" s="153">
        <v>0.52300000000000002</v>
      </c>
      <c r="L28" s="154">
        <v>17.120703412477098</v>
      </c>
      <c r="M28" s="154">
        <v>17.068969091915498</v>
      </c>
      <c r="N28" s="155">
        <v>31455664.228826601</v>
      </c>
      <c r="O28" s="156">
        <v>32535357.051679298</v>
      </c>
      <c r="P28" s="152">
        <v>127.654</v>
      </c>
      <c r="Q28" s="152">
        <v>19.954999999999998</v>
      </c>
      <c r="R28" s="152">
        <v>0.25703333299999997</v>
      </c>
    </row>
    <row r="29" spans="1:18" x14ac:dyDescent="0.2">
      <c r="A29" s="152">
        <v>162</v>
      </c>
      <c r="B29" s="152" t="s">
        <v>42</v>
      </c>
      <c r="C29" s="152" t="s">
        <v>46</v>
      </c>
      <c r="D29" s="152" t="s">
        <v>36</v>
      </c>
      <c r="E29" s="152">
        <v>128</v>
      </c>
      <c r="F29" s="151">
        <v>8.93</v>
      </c>
      <c r="G29" s="151">
        <v>0.1449</v>
      </c>
      <c r="H29" s="151">
        <v>33</v>
      </c>
      <c r="I29" s="153">
        <v>67.972999999999999</v>
      </c>
      <c r="J29" s="153">
        <v>1.889</v>
      </c>
      <c r="K29" s="153">
        <v>0.875</v>
      </c>
      <c r="L29" s="154">
        <v>13.4791902506696</v>
      </c>
      <c r="M29" s="154">
        <v>13.7284014312004</v>
      </c>
      <c r="N29" s="155">
        <v>352553043.44282699</v>
      </c>
      <c r="O29" s="156">
        <v>332112121.01642501</v>
      </c>
      <c r="P29" s="152">
        <v>89.108999999999995</v>
      </c>
      <c r="Q29" s="152">
        <v>19.355</v>
      </c>
      <c r="R29" s="152">
        <v>0.25703333299999997</v>
      </c>
    </row>
    <row r="30" spans="1:18" x14ac:dyDescent="0.2">
      <c r="A30" s="152">
        <v>222</v>
      </c>
      <c r="B30" s="152" t="s">
        <v>42</v>
      </c>
      <c r="C30" s="152" t="s">
        <v>46</v>
      </c>
      <c r="D30" s="152" t="s">
        <v>36</v>
      </c>
      <c r="E30" s="152">
        <v>122</v>
      </c>
      <c r="F30" s="151">
        <v>8.36</v>
      </c>
      <c r="G30" s="151">
        <v>0.13189999999999999</v>
      </c>
      <c r="H30" s="151">
        <v>31</v>
      </c>
      <c r="I30" s="153">
        <v>47.847000000000001</v>
      </c>
      <c r="J30" s="153">
        <v>1.9059999999999999</v>
      </c>
      <c r="K30" s="153">
        <v>0.77400000000000002</v>
      </c>
      <c r="L30" s="154">
        <v>17.782614122563398</v>
      </c>
      <c r="M30" s="154">
        <v>17.95</v>
      </c>
      <c r="N30" s="155">
        <v>25218844.908745699</v>
      </c>
      <c r="O30" s="156">
        <v>31029735.276626501</v>
      </c>
      <c r="P30" s="152">
        <v>81.67949999999999</v>
      </c>
      <c r="Q30" s="152">
        <v>12.631499999999999</v>
      </c>
      <c r="R30" s="152">
        <v>0.25703333299999997</v>
      </c>
    </row>
    <row r="31" spans="1:18" x14ac:dyDescent="0.2">
      <c r="A31" s="152">
        <v>246</v>
      </c>
      <c r="B31" s="152" t="s">
        <v>42</v>
      </c>
      <c r="C31" s="152" t="s">
        <v>46</v>
      </c>
      <c r="D31" s="152" t="s">
        <v>36</v>
      </c>
      <c r="E31" s="152">
        <v>136</v>
      </c>
      <c r="F31" s="151">
        <v>8.5299999999999994</v>
      </c>
      <c r="G31" s="151">
        <v>0.15909999999999999</v>
      </c>
      <c r="H31" s="151">
        <v>35</v>
      </c>
      <c r="I31" s="153">
        <v>99.762</v>
      </c>
      <c r="J31" s="153">
        <v>1.7949999999999999</v>
      </c>
      <c r="K31" s="153">
        <v>0.84699999999999998</v>
      </c>
      <c r="L31" s="154">
        <v>14.1107612695446</v>
      </c>
      <c r="M31" s="154">
        <v>14.08</v>
      </c>
      <c r="N31" s="155">
        <v>270180947.38252598</v>
      </c>
      <c r="O31" s="156">
        <v>255510149.649661</v>
      </c>
      <c r="P31" s="152">
        <v>102.639</v>
      </c>
      <c r="Q31" s="152">
        <v>14.016999999999999</v>
      </c>
      <c r="R31" s="152">
        <v>0.25703333299999997</v>
      </c>
    </row>
    <row r="32" spans="1:18" x14ac:dyDescent="0.2">
      <c r="A32" s="152">
        <v>3</v>
      </c>
      <c r="B32" s="152" t="s">
        <v>42</v>
      </c>
      <c r="C32" s="152" t="s">
        <v>47</v>
      </c>
      <c r="D32" s="152" t="s">
        <v>36</v>
      </c>
      <c r="E32" s="152">
        <v>144</v>
      </c>
      <c r="F32" s="151">
        <v>10.72</v>
      </c>
      <c r="G32" s="151">
        <v>0.26519999999999999</v>
      </c>
      <c r="H32" s="151">
        <v>35</v>
      </c>
      <c r="I32" s="153">
        <v>198.42099999999999</v>
      </c>
      <c r="J32" s="153">
        <v>1.9590000000000001</v>
      </c>
      <c r="K32" s="153">
        <v>1.4490000000000001</v>
      </c>
      <c r="L32" s="154">
        <v>12.7256096816352</v>
      </c>
      <c r="M32" s="154">
        <v>12.89</v>
      </c>
      <c r="N32" s="155">
        <v>1367281077.1747401</v>
      </c>
      <c r="O32" s="156">
        <v>581485307.44131005</v>
      </c>
      <c r="P32" s="152">
        <v>206.64099999999999</v>
      </c>
      <c r="Q32" s="152">
        <v>30.715</v>
      </c>
      <c r="R32" s="152">
        <v>0.26979999999999998</v>
      </c>
    </row>
    <row r="33" spans="1:19" x14ac:dyDescent="0.2">
      <c r="A33" s="152">
        <v>16</v>
      </c>
      <c r="B33" s="152" t="s">
        <v>42</v>
      </c>
      <c r="C33" s="152" t="s">
        <v>47</v>
      </c>
      <c r="D33" s="152" t="s">
        <v>36</v>
      </c>
      <c r="E33" s="152">
        <v>134</v>
      </c>
      <c r="F33" s="151">
        <v>11.3</v>
      </c>
      <c r="G33" s="151">
        <v>0.32200000000000001</v>
      </c>
      <c r="H33" s="151">
        <v>35</v>
      </c>
      <c r="I33" s="153">
        <v>251.3</v>
      </c>
      <c r="J33" s="153">
        <v>1.907</v>
      </c>
      <c r="K33" s="153">
        <v>1.3089999999999999</v>
      </c>
      <c r="L33" s="154">
        <v>13.179161818189099</v>
      </c>
      <c r="M33" s="154">
        <v>13.1818976391192</v>
      </c>
      <c r="N33" s="155">
        <v>415173839.58005899</v>
      </c>
      <c r="O33" s="156">
        <v>1276039162.6842401</v>
      </c>
      <c r="P33" s="152">
        <v>213.89599999999999</v>
      </c>
      <c r="Q33" s="152">
        <v>27.657</v>
      </c>
      <c r="R33" s="152">
        <v>0.26979999999999998</v>
      </c>
    </row>
    <row r="34" spans="1:19" x14ac:dyDescent="0.2">
      <c r="A34" s="152">
        <v>32</v>
      </c>
      <c r="B34" s="152" t="s">
        <v>42</v>
      </c>
      <c r="C34" s="152" t="s">
        <v>47</v>
      </c>
      <c r="D34" s="152" t="s">
        <v>36</v>
      </c>
      <c r="E34" s="152">
        <v>128</v>
      </c>
      <c r="F34" s="151">
        <v>11.03</v>
      </c>
      <c r="G34" s="151">
        <v>0.28739999999999999</v>
      </c>
      <c r="H34" s="151">
        <v>34</v>
      </c>
      <c r="I34" s="153">
        <v>78.034000000000006</v>
      </c>
      <c r="J34" s="153">
        <v>1.804</v>
      </c>
      <c r="K34" s="153">
        <v>0.85699999999999998</v>
      </c>
      <c r="L34" s="154">
        <v>14.801055169721501</v>
      </c>
      <c r="M34" s="154">
        <v>14.693022753280299</v>
      </c>
      <c r="N34" s="155">
        <v>193618877.543336</v>
      </c>
      <c r="O34" s="156">
        <v>197337462.94264799</v>
      </c>
      <c r="P34" s="152">
        <v>198.42500000000001</v>
      </c>
      <c r="Q34" s="152">
        <v>34.713999999999999</v>
      </c>
      <c r="R34" s="152">
        <v>0.26979999999999998</v>
      </c>
    </row>
    <row r="35" spans="1:19" x14ac:dyDescent="0.2">
      <c r="A35" s="152">
        <v>58</v>
      </c>
      <c r="B35" s="152" t="s">
        <v>42</v>
      </c>
      <c r="C35" s="152" t="s">
        <v>47</v>
      </c>
      <c r="D35" s="152" t="s">
        <v>36</v>
      </c>
      <c r="E35" s="152">
        <v>146</v>
      </c>
      <c r="F35" s="151">
        <v>10.9</v>
      </c>
      <c r="G35" s="151">
        <v>0.28570000000000001</v>
      </c>
      <c r="H35" s="151">
        <v>36</v>
      </c>
      <c r="I35" s="153">
        <v>174.19499999999999</v>
      </c>
      <c r="J35" s="153">
        <v>1.9319999999999999</v>
      </c>
      <c r="K35" s="153">
        <v>1.1259999999999999</v>
      </c>
      <c r="L35" s="154">
        <v>16.006103857021898</v>
      </c>
      <c r="M35" s="154">
        <v>16.099885662106701</v>
      </c>
      <c r="N35" s="155">
        <v>97806571.875714198</v>
      </c>
      <c r="O35" s="156">
        <v>87449265.032983094</v>
      </c>
      <c r="P35" s="152">
        <v>193.77500000000001</v>
      </c>
      <c r="Q35" s="152">
        <v>28.152999999999999</v>
      </c>
      <c r="R35" s="152">
        <v>0.26979999999999998</v>
      </c>
    </row>
    <row r="36" spans="1:19" x14ac:dyDescent="0.2">
      <c r="A36" s="152">
        <v>66</v>
      </c>
      <c r="B36" s="152" t="s">
        <v>42</v>
      </c>
      <c r="C36" s="152" t="s">
        <v>47</v>
      </c>
      <c r="D36" s="152" t="s">
        <v>36</v>
      </c>
      <c r="E36" s="152">
        <v>140</v>
      </c>
      <c r="F36" s="151">
        <v>10.28</v>
      </c>
      <c r="G36" s="151">
        <v>0.26079999999999998</v>
      </c>
      <c r="H36" s="151">
        <v>33</v>
      </c>
      <c r="I36" s="153">
        <v>83.715000000000003</v>
      </c>
      <c r="J36" s="153">
        <v>1.966</v>
      </c>
      <c r="K36" s="153">
        <v>1.113</v>
      </c>
      <c r="L36" s="154">
        <v>17.532546834685501</v>
      </c>
      <c r="M36" s="154">
        <v>17.545401212455999</v>
      </c>
      <c r="N36" s="155">
        <v>30616860.763600599</v>
      </c>
      <c r="O36" s="156">
        <v>33303330.8720816</v>
      </c>
      <c r="P36" s="152">
        <v>217.26900000000001</v>
      </c>
      <c r="Q36" s="152">
        <v>24.564</v>
      </c>
      <c r="R36" s="152">
        <v>0.26979999999999998</v>
      </c>
    </row>
    <row r="37" spans="1:19" x14ac:dyDescent="0.2">
      <c r="A37" s="152">
        <v>107</v>
      </c>
      <c r="B37" s="152" t="s">
        <v>42</v>
      </c>
      <c r="C37" s="152" t="s">
        <v>47</v>
      </c>
      <c r="D37" s="152" t="s">
        <v>36</v>
      </c>
      <c r="E37" s="152">
        <v>144</v>
      </c>
      <c r="F37" s="151">
        <v>9.8000000000000007</v>
      </c>
      <c r="G37" s="151">
        <v>0.2064</v>
      </c>
      <c r="H37" s="151">
        <v>34</v>
      </c>
      <c r="I37" s="153">
        <v>9.9380000000000006</v>
      </c>
      <c r="J37" s="153">
        <v>1.7270000000000001</v>
      </c>
      <c r="K37" s="153">
        <v>0.29499999999999998</v>
      </c>
      <c r="L37" s="154">
        <v>17.129966543120101</v>
      </c>
      <c r="M37" s="154">
        <v>17.489784553868098</v>
      </c>
      <c r="N37" s="155">
        <v>24724950.727553099</v>
      </c>
      <c r="O37" s="156">
        <v>31266160.050701801</v>
      </c>
      <c r="P37" s="152">
        <v>118.21850000000001</v>
      </c>
      <c r="Q37" s="152">
        <v>21.6005</v>
      </c>
      <c r="R37" s="152">
        <v>0.26979999999999998</v>
      </c>
    </row>
    <row r="38" spans="1:19" x14ac:dyDescent="0.2">
      <c r="A38" s="152">
        <v>154</v>
      </c>
      <c r="B38" s="152" t="s">
        <v>42</v>
      </c>
      <c r="C38" s="152" t="s">
        <v>47</v>
      </c>
      <c r="D38" s="152" t="s">
        <v>36</v>
      </c>
      <c r="E38" s="152">
        <v>138</v>
      </c>
      <c r="F38" s="151">
        <v>10.029999999999999</v>
      </c>
      <c r="G38" s="151">
        <v>0.18740000000000001</v>
      </c>
      <c r="H38" s="151">
        <v>31</v>
      </c>
      <c r="I38" s="153">
        <v>33.94</v>
      </c>
      <c r="J38" s="153">
        <v>1.859</v>
      </c>
      <c r="K38" s="153">
        <v>0.47399999999999998</v>
      </c>
      <c r="L38" s="154">
        <v>21.14</v>
      </c>
      <c r="M38" s="154">
        <v>21.279853282759699</v>
      </c>
      <c r="N38" s="155">
        <v>3182788.0919035701</v>
      </c>
      <c r="O38" s="156">
        <v>2681921.9994553798</v>
      </c>
      <c r="P38" s="152">
        <v>131.79400000000001</v>
      </c>
      <c r="Q38" s="152">
        <v>22.152000000000001</v>
      </c>
      <c r="R38" s="152">
        <v>0.26979999999999998</v>
      </c>
    </row>
    <row r="39" spans="1:19" x14ac:dyDescent="0.2">
      <c r="A39" s="152">
        <v>158</v>
      </c>
      <c r="B39" s="152" t="s">
        <v>42</v>
      </c>
      <c r="C39" s="152" t="s">
        <v>47</v>
      </c>
      <c r="D39" s="152" t="s">
        <v>36</v>
      </c>
      <c r="E39" s="152">
        <v>144</v>
      </c>
      <c r="F39" s="151">
        <v>11.31</v>
      </c>
      <c r="G39" s="151">
        <v>0.26219999999999999</v>
      </c>
      <c r="H39" s="151">
        <v>33</v>
      </c>
      <c r="I39" s="153">
        <v>83.24</v>
      </c>
      <c r="J39" s="153">
        <v>1.976</v>
      </c>
      <c r="K39" s="153">
        <v>1.0249999999999999</v>
      </c>
      <c r="L39" s="154">
        <v>17.47</v>
      </c>
      <c r="M39" s="154">
        <v>17.6188668068685</v>
      </c>
      <c r="N39" s="155">
        <v>32468536.410570901</v>
      </c>
      <c r="O39" s="156">
        <v>32863477.5485547</v>
      </c>
      <c r="P39" s="152">
        <v>202.91900000000001</v>
      </c>
      <c r="Q39" s="152">
        <v>28.425999999999998</v>
      </c>
      <c r="R39" s="152">
        <v>0.26979999999999998</v>
      </c>
    </row>
    <row r="40" spans="1:19" ht="15" customHeight="1" x14ac:dyDescent="0.2">
      <c r="A40" s="152">
        <v>205</v>
      </c>
      <c r="B40" s="152" t="s">
        <v>42</v>
      </c>
      <c r="C40" s="152" t="s">
        <v>47</v>
      </c>
      <c r="D40" s="152" t="s">
        <v>36</v>
      </c>
      <c r="E40" s="152">
        <v>152</v>
      </c>
      <c r="F40" s="151">
        <v>11.97</v>
      </c>
      <c r="G40" s="151">
        <v>0.33169999999999999</v>
      </c>
      <c r="H40" s="151">
        <v>31</v>
      </c>
      <c r="I40" s="153">
        <v>33.659999999999997</v>
      </c>
      <c r="J40" s="153">
        <v>1.762</v>
      </c>
      <c r="K40" s="153">
        <v>0.45600000000000002</v>
      </c>
      <c r="L40" s="153"/>
      <c r="M40" s="153"/>
      <c r="N40" s="155">
        <v>1102870.54744968</v>
      </c>
      <c r="O40" s="156">
        <v>1104806.36505208</v>
      </c>
      <c r="P40" s="152">
        <v>246.20599999999999</v>
      </c>
      <c r="Q40" s="152">
        <v>28.99</v>
      </c>
      <c r="R40" s="152">
        <v>0.26979999999999998</v>
      </c>
    </row>
    <row r="41" spans="1:19" x14ac:dyDescent="0.2">
      <c r="A41" s="152">
        <v>217</v>
      </c>
      <c r="B41" s="152" t="s">
        <v>42</v>
      </c>
      <c r="C41" s="152" t="s">
        <v>47</v>
      </c>
      <c r="D41" s="152" t="s">
        <v>36</v>
      </c>
      <c r="E41" s="152">
        <v>128</v>
      </c>
      <c r="F41" s="151">
        <v>9.52</v>
      </c>
      <c r="G41" s="151">
        <v>0.21690000000000001</v>
      </c>
      <c r="H41" s="151">
        <v>33</v>
      </c>
      <c r="I41" s="153">
        <v>39.084000000000003</v>
      </c>
      <c r="J41" s="153">
        <v>1.857</v>
      </c>
      <c r="K41" s="153">
        <v>0.73</v>
      </c>
      <c r="L41" s="154">
        <v>13.896413232160899</v>
      </c>
      <c r="M41" s="154">
        <v>13.712085198559301</v>
      </c>
      <c r="N41" s="155">
        <v>290660280.64851302</v>
      </c>
      <c r="O41" s="156">
        <v>257729534.36233801</v>
      </c>
      <c r="P41" s="152">
        <v>52.835999999999999</v>
      </c>
      <c r="Q41" s="152">
        <v>16.690000000000001</v>
      </c>
      <c r="R41" s="152">
        <v>0.26979999999999998</v>
      </c>
    </row>
    <row r="42" spans="1:19" x14ac:dyDescent="0.2">
      <c r="A42" s="152">
        <v>29</v>
      </c>
      <c r="B42" s="152" t="s">
        <v>42</v>
      </c>
      <c r="C42" s="152" t="s">
        <v>48</v>
      </c>
      <c r="D42" s="152" t="s">
        <v>36</v>
      </c>
      <c r="E42" s="152">
        <v>158</v>
      </c>
      <c r="F42" s="151">
        <v>10.4</v>
      </c>
      <c r="G42" s="151">
        <v>0.17150000000000001</v>
      </c>
      <c r="H42" s="151">
        <v>33</v>
      </c>
      <c r="I42" s="153">
        <v>8.0239999999999991</v>
      </c>
      <c r="J42" s="153">
        <v>1.7969999999999999</v>
      </c>
      <c r="K42" s="153">
        <v>0.184</v>
      </c>
      <c r="L42" s="154">
        <v>19.8540616738197</v>
      </c>
      <c r="M42" s="154">
        <v>19.657480713246699</v>
      </c>
      <c r="N42" s="155">
        <v>5288325.5967926104</v>
      </c>
      <c r="O42" s="156">
        <v>6011890.0725956196</v>
      </c>
      <c r="P42" s="152">
        <v>176.14500000000001</v>
      </c>
      <c r="Q42" s="152">
        <v>53.993000000000002</v>
      </c>
      <c r="R42" s="152">
        <v>0.29310000000000003</v>
      </c>
    </row>
    <row r="43" spans="1:19" x14ac:dyDescent="0.2">
      <c r="A43" s="152">
        <v>45</v>
      </c>
      <c r="B43" s="152" t="s">
        <v>42</v>
      </c>
      <c r="C43" s="152" t="s">
        <v>48</v>
      </c>
      <c r="D43" s="152" t="s">
        <v>36</v>
      </c>
      <c r="E43" s="152">
        <v>154</v>
      </c>
      <c r="F43" s="151">
        <v>10.63</v>
      </c>
      <c r="G43" s="151">
        <v>0.21379999999999999</v>
      </c>
      <c r="H43" s="151">
        <v>33</v>
      </c>
      <c r="I43" s="153">
        <v>85.525999999999996</v>
      </c>
      <c r="J43" s="153">
        <v>1.8560000000000001</v>
      </c>
      <c r="K43" s="153">
        <v>0.79600000000000004</v>
      </c>
      <c r="L43" s="154">
        <v>15.9700600377257</v>
      </c>
      <c r="M43" s="154">
        <v>16.050477085887099</v>
      </c>
      <c r="N43" s="155">
        <v>86044403.017811507</v>
      </c>
      <c r="O43" s="156">
        <v>107493092.325196</v>
      </c>
      <c r="P43" s="152">
        <v>113.02200000000001</v>
      </c>
      <c r="Q43" s="152">
        <v>27.311</v>
      </c>
      <c r="R43" s="152">
        <v>0.29310000000000003</v>
      </c>
    </row>
    <row r="44" spans="1:19" x14ac:dyDescent="0.2">
      <c r="A44" s="152">
        <v>135</v>
      </c>
      <c r="B44" s="152" t="s">
        <v>42</v>
      </c>
      <c r="C44" s="152" t="s">
        <v>48</v>
      </c>
      <c r="D44" s="152" t="s">
        <v>36</v>
      </c>
      <c r="E44" s="152">
        <v>136</v>
      </c>
      <c r="F44" s="151">
        <v>10.75</v>
      </c>
      <c r="G44" s="151">
        <v>0.23230000000000001</v>
      </c>
      <c r="H44" s="151">
        <v>35</v>
      </c>
      <c r="I44" s="153">
        <v>94.599000000000004</v>
      </c>
      <c r="J44" s="153">
        <v>1.8640000000000001</v>
      </c>
      <c r="K44" s="153">
        <v>1.0569999999999999</v>
      </c>
      <c r="L44" s="154">
        <v>13.2730627222638</v>
      </c>
      <c r="M44" s="154">
        <v>13.3672932531051</v>
      </c>
      <c r="N44" s="155">
        <v>490162900.53751302</v>
      </c>
      <c r="O44" s="156">
        <v>347917895.49241</v>
      </c>
      <c r="P44" s="152">
        <v>200.06700000000001</v>
      </c>
      <c r="Q44" s="152">
        <v>32.094000000000001</v>
      </c>
      <c r="R44" s="152">
        <v>0.29310000000000003</v>
      </c>
    </row>
    <row r="45" spans="1:19" x14ac:dyDescent="0.2">
      <c r="A45" s="152">
        <v>177</v>
      </c>
      <c r="B45" s="152" t="s">
        <v>42</v>
      </c>
      <c r="C45" s="152" t="s">
        <v>48</v>
      </c>
      <c r="D45" s="152" t="s">
        <v>36</v>
      </c>
      <c r="E45" s="152">
        <v>128</v>
      </c>
      <c r="F45" s="151">
        <v>10.33</v>
      </c>
      <c r="G45" s="151">
        <v>0.16919999999999999</v>
      </c>
      <c r="H45" s="151">
        <v>34</v>
      </c>
      <c r="I45" s="153">
        <v>41.801000000000002</v>
      </c>
      <c r="J45" s="153">
        <v>1.7689999999999999</v>
      </c>
      <c r="K45" s="153">
        <v>0.67300000000000004</v>
      </c>
      <c r="L45" s="154">
        <v>13.2122155953562</v>
      </c>
      <c r="M45" s="154">
        <v>13.237781061189599</v>
      </c>
      <c r="N45" s="155">
        <v>402719311.40831703</v>
      </c>
      <c r="O45" s="156">
        <v>396058710.80782503</v>
      </c>
      <c r="P45" s="152">
        <v>111.167</v>
      </c>
      <c r="Q45" s="152">
        <v>16.016999999999999</v>
      </c>
      <c r="R45" s="152">
        <v>0.29310000000000003</v>
      </c>
    </row>
    <row r="46" spans="1:19" x14ac:dyDescent="0.2">
      <c r="A46" s="152">
        <v>183</v>
      </c>
      <c r="B46" s="152" t="s">
        <v>42</v>
      </c>
      <c r="C46" s="152" t="s">
        <v>48</v>
      </c>
      <c r="D46" s="152" t="s">
        <v>36</v>
      </c>
      <c r="E46" s="152">
        <v>144</v>
      </c>
      <c r="F46" s="151">
        <v>9.59</v>
      </c>
      <c r="G46" s="151">
        <v>0.17230000000000001</v>
      </c>
      <c r="H46" s="151">
        <v>33</v>
      </c>
      <c r="I46" s="153">
        <v>41.234000000000002</v>
      </c>
      <c r="J46" s="153">
        <v>1.8420000000000001</v>
      </c>
      <c r="K46" s="153">
        <v>0.66200000000000003</v>
      </c>
      <c r="L46" s="154">
        <v>17.330201542862799</v>
      </c>
      <c r="M46" s="154">
        <v>17.324411079964602</v>
      </c>
      <c r="N46" s="155">
        <v>30977545.575061999</v>
      </c>
      <c r="O46" s="156">
        <v>32730134.2084141</v>
      </c>
      <c r="P46" s="152">
        <v>113.01900000000001</v>
      </c>
      <c r="Q46" s="152">
        <v>20.532</v>
      </c>
      <c r="R46" s="152">
        <v>0.29310000000000003</v>
      </c>
    </row>
    <row r="47" spans="1:19" x14ac:dyDescent="0.2">
      <c r="A47" s="152">
        <v>197</v>
      </c>
      <c r="B47" s="152" t="s">
        <v>42</v>
      </c>
      <c r="C47" s="152" t="s">
        <v>48</v>
      </c>
      <c r="D47" s="152" t="s">
        <v>36</v>
      </c>
      <c r="E47" s="152">
        <v>174</v>
      </c>
      <c r="F47" s="159" t="s">
        <v>106</v>
      </c>
      <c r="G47" s="157" t="s">
        <v>106</v>
      </c>
      <c r="H47" s="157" t="s">
        <v>106</v>
      </c>
      <c r="I47" s="160" t="s">
        <v>106</v>
      </c>
      <c r="J47" s="160" t="s">
        <v>106</v>
      </c>
      <c r="K47" s="160" t="s">
        <v>106</v>
      </c>
      <c r="L47" s="160" t="s">
        <v>106</v>
      </c>
      <c r="M47" s="160" t="s">
        <v>106</v>
      </c>
      <c r="N47" s="161" t="s">
        <v>106</v>
      </c>
      <c r="O47" s="161" t="s">
        <v>106</v>
      </c>
      <c r="P47" s="152">
        <v>215.36699999999999</v>
      </c>
      <c r="Q47" s="152">
        <v>52.734999999999999</v>
      </c>
      <c r="R47" s="152">
        <v>0.29310000000000003</v>
      </c>
      <c r="S47" s="158" t="s">
        <v>107</v>
      </c>
    </row>
    <row r="48" spans="1:19" x14ac:dyDescent="0.2">
      <c r="A48" s="152">
        <v>221</v>
      </c>
      <c r="B48" s="152" t="s">
        <v>42</v>
      </c>
      <c r="C48" s="152" t="s">
        <v>48</v>
      </c>
      <c r="D48" s="152" t="s">
        <v>36</v>
      </c>
      <c r="E48" s="152">
        <v>138</v>
      </c>
      <c r="F48" s="151">
        <v>10.75</v>
      </c>
      <c r="G48" s="151">
        <v>0.25240000000000001</v>
      </c>
      <c r="H48" s="151">
        <v>33</v>
      </c>
      <c r="I48" s="153">
        <v>136.30099999999999</v>
      </c>
      <c r="J48" s="153">
        <v>2.0129999999999999</v>
      </c>
      <c r="K48" s="153">
        <v>1.4570000000000001</v>
      </c>
      <c r="L48" s="154">
        <v>12.464738511376</v>
      </c>
      <c r="M48" s="154">
        <v>12.47</v>
      </c>
      <c r="N48" s="155">
        <v>1177571748.4307799</v>
      </c>
      <c r="O48" s="156">
        <v>705143281.62072098</v>
      </c>
      <c r="P48" s="152">
        <v>209.02600000000001</v>
      </c>
      <c r="Q48" s="152">
        <v>57.828000000000003</v>
      </c>
      <c r="R48" s="152">
        <v>0.29310000000000003</v>
      </c>
    </row>
    <row r="49" spans="1:19" x14ac:dyDescent="0.2">
      <c r="A49" s="152">
        <v>234</v>
      </c>
      <c r="B49" s="152" t="s">
        <v>42</v>
      </c>
      <c r="C49" s="152" t="s">
        <v>48</v>
      </c>
      <c r="D49" s="152" t="s">
        <v>36</v>
      </c>
      <c r="E49" s="152">
        <v>152</v>
      </c>
      <c r="F49" s="151">
        <v>10.47</v>
      </c>
      <c r="G49" s="151">
        <v>0.2215</v>
      </c>
      <c r="H49" s="151">
        <v>35</v>
      </c>
      <c r="I49" s="153">
        <v>106.75</v>
      </c>
      <c r="J49" s="153">
        <v>1.901</v>
      </c>
      <c r="K49" s="153">
        <v>1.0209999999999999</v>
      </c>
      <c r="L49" s="154">
        <v>13.7920502668469</v>
      </c>
      <c r="M49" s="154">
        <v>14.17</v>
      </c>
      <c r="N49" s="155">
        <v>282788670.02637398</v>
      </c>
      <c r="O49" s="156">
        <v>228379126.977981</v>
      </c>
      <c r="P49" s="152">
        <v>75.855000000000004</v>
      </c>
      <c r="Q49" s="152">
        <v>8.0690000000000008</v>
      </c>
      <c r="R49" s="152">
        <v>0.29310000000000003</v>
      </c>
    </row>
    <row r="50" spans="1:19" x14ac:dyDescent="0.2">
      <c r="A50" s="152">
        <v>262</v>
      </c>
      <c r="B50" s="152" t="s">
        <v>42</v>
      </c>
      <c r="C50" s="152" t="s">
        <v>48</v>
      </c>
      <c r="D50" s="152" t="s">
        <v>36</v>
      </c>
      <c r="E50" s="152">
        <v>140</v>
      </c>
      <c r="F50" s="151">
        <v>9.86</v>
      </c>
      <c r="G50" s="151">
        <v>0.17910000000000001</v>
      </c>
      <c r="H50" s="151">
        <v>32</v>
      </c>
      <c r="I50" s="153">
        <v>8.8819999999999997</v>
      </c>
      <c r="J50" s="153">
        <v>1.67</v>
      </c>
      <c r="K50" s="153">
        <v>0.25600000000000001</v>
      </c>
      <c r="L50" s="154">
        <v>22.508863111985001</v>
      </c>
      <c r="M50" s="154">
        <v>22.1050313664201</v>
      </c>
      <c r="N50" s="155">
        <v>935821.98388241103</v>
      </c>
      <c r="O50" s="156">
        <v>1217872.3560460899</v>
      </c>
      <c r="P50" s="152">
        <v>150.78</v>
      </c>
      <c r="Q50" s="152">
        <v>36.113</v>
      </c>
      <c r="R50" s="152">
        <v>0.29310000000000003</v>
      </c>
    </row>
    <row r="51" spans="1:19" x14ac:dyDescent="0.2">
      <c r="A51" s="152">
        <v>266</v>
      </c>
      <c r="B51" s="152" t="s">
        <v>42</v>
      </c>
      <c r="C51" s="152" t="s">
        <v>48</v>
      </c>
      <c r="D51" s="152" t="s">
        <v>36</v>
      </c>
      <c r="E51" s="152">
        <v>128</v>
      </c>
      <c r="F51" s="151">
        <v>9.8800000000000008</v>
      </c>
      <c r="G51" s="151">
        <v>0.17899999999999999</v>
      </c>
      <c r="H51" s="151">
        <v>31</v>
      </c>
      <c r="I51" s="153">
        <v>30.350999999999999</v>
      </c>
      <c r="J51" s="153">
        <v>1.7949999999999999</v>
      </c>
      <c r="K51" s="153">
        <v>0.52500000000000002</v>
      </c>
      <c r="L51" s="154">
        <v>18.339761519683599</v>
      </c>
      <c r="M51" s="154">
        <v>18.398564536346498</v>
      </c>
      <c r="N51" s="155">
        <v>14201383.4684128</v>
      </c>
      <c r="O51" s="156">
        <v>13666941.1268006</v>
      </c>
      <c r="P51" s="152">
        <v>55.706000000000003</v>
      </c>
      <c r="Q51" s="152">
        <v>22.484999999999999</v>
      </c>
      <c r="R51" s="152">
        <v>0.29310000000000003</v>
      </c>
    </row>
    <row r="52" spans="1:19" x14ac:dyDescent="0.2">
      <c r="A52" s="152">
        <v>21</v>
      </c>
      <c r="B52" s="152" t="s">
        <v>42</v>
      </c>
      <c r="C52" s="152" t="s">
        <v>49</v>
      </c>
      <c r="D52" s="152" t="s">
        <v>36</v>
      </c>
      <c r="E52" s="152">
        <v>142</v>
      </c>
      <c r="F52" s="151">
        <v>9.11</v>
      </c>
      <c r="G52" s="151">
        <v>0.19359999999999999</v>
      </c>
      <c r="H52" s="151">
        <v>34</v>
      </c>
      <c r="I52" s="153">
        <v>87.656999999999996</v>
      </c>
      <c r="J52" s="153">
        <v>1.851</v>
      </c>
      <c r="K52" s="153">
        <v>0.82599999999999996</v>
      </c>
      <c r="L52" s="154">
        <v>13.9147750239744</v>
      </c>
      <c r="M52" s="154">
        <v>13.996834908421601</v>
      </c>
      <c r="N52" s="155">
        <v>254660834.14104599</v>
      </c>
      <c r="O52" s="156">
        <v>241387058.88297999</v>
      </c>
      <c r="P52" s="152">
        <v>156.18899999999999</v>
      </c>
      <c r="Q52" s="152">
        <v>42.406999999999996</v>
      </c>
      <c r="R52" s="152">
        <v>0.34060000000000001</v>
      </c>
    </row>
    <row r="53" spans="1:19" x14ac:dyDescent="0.2">
      <c r="A53" s="152">
        <v>48</v>
      </c>
      <c r="B53" s="152" t="s">
        <v>42</v>
      </c>
      <c r="C53" s="152" t="s">
        <v>49</v>
      </c>
      <c r="D53" s="152" t="s">
        <v>36</v>
      </c>
      <c r="E53" s="152">
        <v>138</v>
      </c>
      <c r="F53" s="151">
        <v>11.62</v>
      </c>
      <c r="G53" s="151">
        <v>0.28120000000000001</v>
      </c>
      <c r="H53" s="151">
        <v>34</v>
      </c>
      <c r="I53" s="153">
        <v>48.569000000000003</v>
      </c>
      <c r="J53" s="153">
        <v>1.829</v>
      </c>
      <c r="K53" s="153">
        <v>0.70699999999999996</v>
      </c>
      <c r="L53" s="154">
        <v>15.994481688140899</v>
      </c>
      <c r="M53" s="154">
        <v>16.054665547533101</v>
      </c>
      <c r="N53" s="155">
        <v>63054385.311176501</v>
      </c>
      <c r="O53" s="156">
        <v>65579157.078929</v>
      </c>
      <c r="P53" s="152">
        <v>200.691</v>
      </c>
      <c r="Q53" s="152">
        <v>46.786000000000001</v>
      </c>
      <c r="R53" s="152">
        <v>0.34060000000000001</v>
      </c>
    </row>
    <row r="54" spans="1:19" x14ac:dyDescent="0.2">
      <c r="A54" s="152">
        <v>80</v>
      </c>
      <c r="B54" s="152" t="s">
        <v>42</v>
      </c>
      <c r="C54" s="152" t="s">
        <v>49</v>
      </c>
      <c r="D54" s="152" t="s">
        <v>36</v>
      </c>
      <c r="E54" s="152">
        <v>150</v>
      </c>
      <c r="F54" s="151">
        <v>11.11</v>
      </c>
      <c r="G54" s="151">
        <v>0.25119999999999998</v>
      </c>
      <c r="H54" s="151">
        <v>34</v>
      </c>
      <c r="I54" s="153">
        <v>174.94</v>
      </c>
      <c r="J54" s="153">
        <v>1.873</v>
      </c>
      <c r="K54" s="153">
        <v>1.1890000000000001</v>
      </c>
      <c r="L54" s="154">
        <v>12.3944944406655</v>
      </c>
      <c r="M54" s="154">
        <v>12.31</v>
      </c>
      <c r="N54" s="155">
        <v>444158043.42498797</v>
      </c>
      <c r="O54" s="156">
        <v>467576780.03574198</v>
      </c>
      <c r="P54" s="152">
        <v>99.02</v>
      </c>
      <c r="Q54" s="152">
        <v>23.548999999999999</v>
      </c>
      <c r="R54" s="152">
        <v>0.34060000000000001</v>
      </c>
    </row>
    <row r="55" spans="1:19" x14ac:dyDescent="0.2">
      <c r="A55" s="152">
        <v>116</v>
      </c>
      <c r="B55" s="152" t="s">
        <v>42</v>
      </c>
      <c r="C55" s="152" t="s">
        <v>49</v>
      </c>
      <c r="D55" s="152" t="s">
        <v>36</v>
      </c>
      <c r="E55" s="152">
        <v>136</v>
      </c>
      <c r="F55" s="151">
        <v>10.62</v>
      </c>
      <c r="G55" s="151">
        <v>0.27039999999999997</v>
      </c>
      <c r="H55" s="151">
        <v>35</v>
      </c>
      <c r="I55" s="153">
        <v>24.754000000000001</v>
      </c>
      <c r="J55" s="153">
        <v>1.8560000000000001</v>
      </c>
      <c r="K55" s="153">
        <v>0.57999999999999996</v>
      </c>
      <c r="L55" s="154">
        <v>17.961801678079301</v>
      </c>
      <c r="M55" s="154">
        <v>17.77</v>
      </c>
      <c r="N55" s="155">
        <v>12974879.934403099</v>
      </c>
      <c r="O55" s="156">
        <v>14690499.314918</v>
      </c>
      <c r="P55" s="152">
        <v>95.405000000000001</v>
      </c>
      <c r="Q55" s="152">
        <v>19.021000000000001</v>
      </c>
      <c r="R55" s="152">
        <v>0.34060000000000001</v>
      </c>
    </row>
    <row r="56" spans="1:19" x14ac:dyDescent="0.2">
      <c r="A56" s="152">
        <v>131</v>
      </c>
      <c r="B56" s="152" t="s">
        <v>42</v>
      </c>
      <c r="C56" s="152" t="s">
        <v>49</v>
      </c>
      <c r="D56" s="152" t="s">
        <v>36</v>
      </c>
      <c r="E56" s="152">
        <v>128</v>
      </c>
      <c r="F56" s="151">
        <v>11.3</v>
      </c>
      <c r="G56" s="151">
        <v>0.33160000000000001</v>
      </c>
      <c r="H56" s="151">
        <v>35</v>
      </c>
      <c r="I56" s="153">
        <v>56.648000000000003</v>
      </c>
      <c r="J56" s="153">
        <v>1.919</v>
      </c>
      <c r="K56" s="153">
        <v>0.79800000000000004</v>
      </c>
      <c r="L56" s="154">
        <v>19.644555198933201</v>
      </c>
      <c r="M56" s="154">
        <v>19.7</v>
      </c>
      <c r="N56" s="155">
        <v>4459754.9319437901</v>
      </c>
      <c r="O56" s="156">
        <v>4302922.8370619202</v>
      </c>
      <c r="P56" s="152">
        <v>172.721</v>
      </c>
      <c r="Q56" s="152">
        <v>40.686</v>
      </c>
      <c r="R56" s="152">
        <v>0.34060000000000001</v>
      </c>
    </row>
    <row r="57" spans="1:19" x14ac:dyDescent="0.2">
      <c r="A57" s="152">
        <v>168</v>
      </c>
      <c r="B57" s="152" t="s">
        <v>42</v>
      </c>
      <c r="C57" s="152" t="s">
        <v>49</v>
      </c>
      <c r="D57" s="152" t="s">
        <v>36</v>
      </c>
      <c r="E57" s="152">
        <v>164</v>
      </c>
      <c r="F57" s="151">
        <v>11.03</v>
      </c>
      <c r="G57" s="151">
        <v>0.34360000000000002</v>
      </c>
      <c r="H57" s="151">
        <v>36</v>
      </c>
      <c r="I57" s="153">
        <v>122.096</v>
      </c>
      <c r="J57" s="153">
        <v>2.0049999999999999</v>
      </c>
      <c r="K57" s="153">
        <v>1.1890000000000001</v>
      </c>
      <c r="L57" s="154">
        <v>15.5767382366042</v>
      </c>
      <c r="M57" s="154">
        <v>15.984466798692701</v>
      </c>
      <c r="N57" s="155">
        <v>58947168.742734604</v>
      </c>
      <c r="O57" s="156">
        <v>45507898.880390301</v>
      </c>
      <c r="P57" s="152">
        <v>192.04300000000001</v>
      </c>
      <c r="Q57" s="152">
        <v>23.058</v>
      </c>
      <c r="R57" s="152">
        <v>0.34060000000000001</v>
      </c>
    </row>
    <row r="58" spans="1:19" x14ac:dyDescent="0.2">
      <c r="A58" s="152">
        <v>173</v>
      </c>
      <c r="B58" s="152" t="s">
        <v>42</v>
      </c>
      <c r="C58" s="152" t="s">
        <v>49</v>
      </c>
      <c r="D58" s="152" t="s">
        <v>36</v>
      </c>
      <c r="E58" s="152">
        <v>150</v>
      </c>
      <c r="F58" s="151">
        <v>10.58</v>
      </c>
      <c r="G58" s="151">
        <v>0.24199999999999999</v>
      </c>
      <c r="H58" s="151">
        <v>35</v>
      </c>
      <c r="I58" s="153">
        <v>105.258</v>
      </c>
      <c r="J58" s="153">
        <v>1.883</v>
      </c>
      <c r="K58" s="153">
        <v>0.96899999999999997</v>
      </c>
      <c r="L58" s="154">
        <v>16.0535828795039</v>
      </c>
      <c r="M58" s="154">
        <v>16.081568551089301</v>
      </c>
      <c r="N58" s="155">
        <v>43554932.584815398</v>
      </c>
      <c r="O58" s="156">
        <v>42788205.306870103</v>
      </c>
      <c r="P58" s="152">
        <v>140.99799999999999</v>
      </c>
      <c r="Q58" s="152">
        <v>38.046999999999997</v>
      </c>
      <c r="R58" s="152">
        <v>0.34060000000000001</v>
      </c>
    </row>
    <row r="59" spans="1:19" x14ac:dyDescent="0.2">
      <c r="A59" s="152">
        <v>192</v>
      </c>
      <c r="B59" s="152" t="s">
        <v>42</v>
      </c>
      <c r="C59" s="152" t="s">
        <v>49</v>
      </c>
      <c r="D59" s="152" t="s">
        <v>36</v>
      </c>
      <c r="E59" s="152">
        <v>142</v>
      </c>
      <c r="F59" s="151">
        <v>9.15</v>
      </c>
      <c r="G59" s="151">
        <v>0.13600000000000001</v>
      </c>
      <c r="H59" s="151">
        <v>31</v>
      </c>
      <c r="I59" s="153">
        <v>86.198999999999998</v>
      </c>
      <c r="J59" s="153">
        <v>1.948</v>
      </c>
      <c r="K59" s="153">
        <v>1.1080000000000001</v>
      </c>
      <c r="L59" s="154">
        <v>13.3288343102439</v>
      </c>
      <c r="M59" s="154">
        <v>13.4172820791273</v>
      </c>
      <c r="N59" s="155">
        <v>245481808.429609</v>
      </c>
      <c r="O59" s="156">
        <v>232082166.23936301</v>
      </c>
      <c r="P59" s="152">
        <v>90.936000000000007</v>
      </c>
      <c r="Q59" s="152">
        <v>12.454000000000001</v>
      </c>
      <c r="R59" s="152">
        <v>0.34060000000000001</v>
      </c>
    </row>
    <row r="60" spans="1:19" x14ac:dyDescent="0.2">
      <c r="A60" s="152">
        <v>268</v>
      </c>
      <c r="B60" s="152" t="s">
        <v>42</v>
      </c>
      <c r="C60" s="152" t="s">
        <v>49</v>
      </c>
      <c r="D60" s="152" t="s">
        <v>36</v>
      </c>
      <c r="E60" s="152">
        <v>158</v>
      </c>
      <c r="F60" s="151">
        <v>10.6</v>
      </c>
      <c r="G60" s="151">
        <v>0.2777</v>
      </c>
      <c r="H60" s="151">
        <v>31</v>
      </c>
      <c r="I60" s="153">
        <v>25.666</v>
      </c>
      <c r="J60" s="153">
        <v>1.804</v>
      </c>
      <c r="K60" s="153">
        <v>0.44400000000000001</v>
      </c>
      <c r="L60" s="154">
        <v>19.1841706882532</v>
      </c>
      <c r="M60" s="154">
        <v>19.371345418137601</v>
      </c>
      <c r="N60" s="155">
        <v>5973102.0879713204</v>
      </c>
      <c r="O60" s="156">
        <v>5304100.5377738904</v>
      </c>
      <c r="P60" s="152">
        <v>234.6</v>
      </c>
      <c r="Q60" s="152">
        <v>57.048000000000002</v>
      </c>
      <c r="R60" s="152">
        <v>0.34060000000000001</v>
      </c>
    </row>
    <row r="61" spans="1:19" x14ac:dyDescent="0.2">
      <c r="A61" s="152">
        <v>269</v>
      </c>
      <c r="B61" s="152" t="s">
        <v>42</v>
      </c>
      <c r="C61" s="152" t="s">
        <v>49</v>
      </c>
      <c r="D61" s="152" t="s">
        <v>36</v>
      </c>
      <c r="E61" s="152">
        <v>160</v>
      </c>
      <c r="F61" s="151">
        <v>10.32</v>
      </c>
      <c r="G61" s="151">
        <v>0.27389999999999998</v>
      </c>
      <c r="H61" s="151">
        <v>33</v>
      </c>
      <c r="I61" s="153">
        <v>117.318</v>
      </c>
      <c r="J61" s="153">
        <v>1.923</v>
      </c>
      <c r="K61" s="153">
        <v>1.0880000000000001</v>
      </c>
      <c r="L61" s="154">
        <v>13.5978936184445</v>
      </c>
      <c r="M61" s="154">
        <v>13.8844720174198</v>
      </c>
      <c r="N61" s="155">
        <v>206948600.66124001</v>
      </c>
      <c r="O61" s="156">
        <v>172534975.91480699</v>
      </c>
      <c r="P61" s="152">
        <v>237.23500000000001</v>
      </c>
      <c r="Q61" s="152">
        <v>33.585999999999999</v>
      </c>
      <c r="R61" s="152">
        <v>0.34060000000000001</v>
      </c>
    </row>
    <row r="62" spans="1:19" x14ac:dyDescent="0.2">
      <c r="A62" s="152">
        <v>4</v>
      </c>
      <c r="B62" s="152" t="s">
        <v>41</v>
      </c>
      <c r="C62" s="152" t="s">
        <v>41</v>
      </c>
      <c r="D62" s="152" t="s">
        <v>36</v>
      </c>
      <c r="E62" s="152">
        <v>289</v>
      </c>
      <c r="F62" s="151">
        <v>7.92</v>
      </c>
      <c r="G62" s="151">
        <v>8.0699999999999994E-2</v>
      </c>
      <c r="H62" s="151">
        <v>34</v>
      </c>
      <c r="I62" s="153">
        <v>107.539</v>
      </c>
      <c r="J62" s="153">
        <v>1.9359999999999999</v>
      </c>
      <c r="K62" s="153">
        <v>0.97499999999999998</v>
      </c>
      <c r="L62" s="154">
        <v>27.937470928827199</v>
      </c>
      <c r="M62" s="154">
        <v>28.073191551338901</v>
      </c>
      <c r="N62" s="155">
        <v>9318.8680819009805</v>
      </c>
      <c r="O62" s="156">
        <v>8509.6933744587295</v>
      </c>
      <c r="P62" s="152">
        <v>109.13500000000001</v>
      </c>
      <c r="Q62" s="152">
        <v>0.86799999999999999</v>
      </c>
      <c r="R62" s="152">
        <v>3.6266667000000002E-2</v>
      </c>
    </row>
    <row r="63" spans="1:19" x14ac:dyDescent="0.2">
      <c r="A63" s="152">
        <v>70</v>
      </c>
      <c r="B63" s="152" t="s">
        <v>41</v>
      </c>
      <c r="C63" s="152" t="s">
        <v>41</v>
      </c>
      <c r="D63" s="152" t="s">
        <v>36</v>
      </c>
      <c r="E63" s="152">
        <v>158</v>
      </c>
      <c r="F63" s="151">
        <v>4.6500000000000004</v>
      </c>
      <c r="G63" s="151">
        <v>2.4500000000000001E-2</v>
      </c>
      <c r="H63" s="151">
        <v>30</v>
      </c>
      <c r="I63" s="153" t="s">
        <v>106</v>
      </c>
      <c r="J63" s="153" t="s">
        <v>106</v>
      </c>
      <c r="K63" s="153" t="s">
        <v>106</v>
      </c>
      <c r="L63" s="153" t="s">
        <v>106</v>
      </c>
      <c r="M63" s="153" t="s">
        <v>106</v>
      </c>
      <c r="N63" s="162" t="s">
        <v>106</v>
      </c>
      <c r="O63" s="163" t="s">
        <v>106</v>
      </c>
      <c r="P63" s="152">
        <v>99.102000000000004</v>
      </c>
      <c r="Q63" s="152">
        <v>0.879</v>
      </c>
      <c r="R63" s="152">
        <v>3.6266667000000002E-2</v>
      </c>
      <c r="S63" s="158" t="s">
        <v>107</v>
      </c>
    </row>
    <row r="64" spans="1:19" x14ac:dyDescent="0.2">
      <c r="A64" s="152">
        <v>126</v>
      </c>
      <c r="B64" s="152" t="s">
        <v>41</v>
      </c>
      <c r="C64" s="152" t="s">
        <v>41</v>
      </c>
      <c r="D64" s="152" t="s">
        <v>36</v>
      </c>
      <c r="E64" s="152">
        <v>128</v>
      </c>
      <c r="F64" s="151">
        <v>5.14</v>
      </c>
      <c r="G64" s="151">
        <v>3.4000000000000002E-2</v>
      </c>
      <c r="H64" s="151">
        <v>32</v>
      </c>
      <c r="I64" s="153">
        <v>46.201999999999998</v>
      </c>
      <c r="J64" s="153">
        <v>1.9059999999999999</v>
      </c>
      <c r="K64" s="153">
        <v>0.82899999999999996</v>
      </c>
      <c r="L64" s="154">
        <v>14.591088364012201</v>
      </c>
      <c r="M64" s="154">
        <v>14.837477596505201</v>
      </c>
      <c r="N64" s="164">
        <v>163816472.72966999</v>
      </c>
      <c r="O64" s="165">
        <v>139493404.23203701</v>
      </c>
      <c r="P64" s="152">
        <v>169.703</v>
      </c>
      <c r="Q64" s="152">
        <v>0.97299999999999998</v>
      </c>
      <c r="R64" s="152">
        <v>3.6266667000000002E-2</v>
      </c>
    </row>
    <row r="65" spans="1:19" x14ac:dyDescent="0.2">
      <c r="A65" s="152">
        <v>144</v>
      </c>
      <c r="B65" s="152" t="s">
        <v>41</v>
      </c>
      <c r="C65" s="152" t="s">
        <v>41</v>
      </c>
      <c r="D65" s="152" t="s">
        <v>36</v>
      </c>
      <c r="E65" s="152">
        <v>289</v>
      </c>
      <c r="F65" s="151">
        <v>7.17</v>
      </c>
      <c r="G65" s="151">
        <v>7.1199999999999999E-2</v>
      </c>
      <c r="H65" s="151">
        <v>34</v>
      </c>
      <c r="I65" s="153">
        <v>142.066</v>
      </c>
      <c r="J65" s="153">
        <v>1.847</v>
      </c>
      <c r="K65" s="153">
        <v>0.89</v>
      </c>
      <c r="L65" s="154">
        <v>27.258134415422301</v>
      </c>
      <c r="M65" s="154">
        <v>27.33</v>
      </c>
      <c r="N65" s="155">
        <v>14683.2637243305</v>
      </c>
      <c r="O65" s="156">
        <v>14025.875033497399</v>
      </c>
      <c r="P65" s="152">
        <v>214.357</v>
      </c>
      <c r="Q65" s="152">
        <v>22.268999999999998</v>
      </c>
      <c r="R65" s="152">
        <v>3.6266667000000002E-2</v>
      </c>
    </row>
    <row r="66" spans="1:19" x14ac:dyDescent="0.2">
      <c r="A66" s="152">
        <v>148</v>
      </c>
      <c r="B66" s="152" t="s">
        <v>41</v>
      </c>
      <c r="C66" s="152" t="s">
        <v>41</v>
      </c>
      <c r="D66" s="152" t="s">
        <v>36</v>
      </c>
      <c r="E66" s="152">
        <v>289</v>
      </c>
      <c r="F66" s="151">
        <v>8.67</v>
      </c>
      <c r="G66" s="151">
        <v>0.1268</v>
      </c>
      <c r="H66" s="151">
        <v>35</v>
      </c>
      <c r="I66" s="153">
        <v>142.602</v>
      </c>
      <c r="J66" s="153">
        <v>1.9490000000000001</v>
      </c>
      <c r="K66" s="153">
        <v>1.2450000000000001</v>
      </c>
      <c r="L66" s="154">
        <v>28.092900875740099</v>
      </c>
      <c r="M66" s="154">
        <v>30.48</v>
      </c>
      <c r="N66" s="155">
        <v>8398.1784453062992</v>
      </c>
      <c r="O66" s="156">
        <v>1697.83564871557</v>
      </c>
      <c r="P66" s="152">
        <v>159.16399999999999</v>
      </c>
      <c r="Q66" s="152">
        <v>5.4889999999999999</v>
      </c>
      <c r="R66" s="152">
        <v>3.6266667000000002E-2</v>
      </c>
    </row>
    <row r="67" spans="1:19" x14ac:dyDescent="0.2">
      <c r="A67" s="152">
        <v>159</v>
      </c>
      <c r="B67" s="152" t="s">
        <v>41</v>
      </c>
      <c r="C67" s="152" t="s">
        <v>41</v>
      </c>
      <c r="D67" s="152" t="s">
        <v>36</v>
      </c>
      <c r="E67" s="152">
        <v>156</v>
      </c>
      <c r="F67" s="151">
        <v>4.5</v>
      </c>
      <c r="G67" s="151">
        <v>2.1000000000000001E-2</v>
      </c>
      <c r="H67" s="151">
        <v>28</v>
      </c>
      <c r="I67" s="153">
        <v>22.207000000000001</v>
      </c>
      <c r="J67" s="153">
        <v>1.8740000000000001</v>
      </c>
      <c r="K67" s="153">
        <v>0.54500000000000004</v>
      </c>
      <c r="L67" s="154">
        <v>16.3915762194443</v>
      </c>
      <c r="M67" s="154">
        <v>16.407269376154598</v>
      </c>
      <c r="N67" s="155">
        <v>35146433.628109403</v>
      </c>
      <c r="O67" s="156">
        <v>34798136.816907503</v>
      </c>
      <c r="P67" s="152">
        <v>23.303999999999998</v>
      </c>
      <c r="Q67" s="152">
        <v>1.167</v>
      </c>
      <c r="R67" s="152">
        <v>3.6266667000000002E-2</v>
      </c>
    </row>
    <row r="68" spans="1:19" x14ac:dyDescent="0.2">
      <c r="A68" s="152">
        <v>212</v>
      </c>
      <c r="B68" s="152" t="s">
        <v>41</v>
      </c>
      <c r="C68" s="152" t="s">
        <v>41</v>
      </c>
      <c r="D68" s="152" t="s">
        <v>36</v>
      </c>
      <c r="E68" s="152">
        <v>204</v>
      </c>
      <c r="F68" s="158" t="s">
        <v>106</v>
      </c>
      <c r="G68" s="158" t="s">
        <v>106</v>
      </c>
      <c r="H68" s="158" t="s">
        <v>106</v>
      </c>
      <c r="I68" s="158" t="s">
        <v>106</v>
      </c>
      <c r="J68" s="158" t="s">
        <v>106</v>
      </c>
      <c r="K68" s="158" t="s">
        <v>106</v>
      </c>
      <c r="L68" s="158" t="s">
        <v>106</v>
      </c>
      <c r="M68" s="158" t="s">
        <v>106</v>
      </c>
      <c r="N68" s="158" t="s">
        <v>106</v>
      </c>
      <c r="O68" s="158" t="s">
        <v>106</v>
      </c>
      <c r="P68" s="152">
        <v>118.621</v>
      </c>
      <c r="Q68" s="152">
        <v>0.71899999999999997</v>
      </c>
      <c r="R68" s="152">
        <v>3.6266667000000002E-2</v>
      </c>
      <c r="S68" s="158" t="s">
        <v>107</v>
      </c>
    </row>
    <row r="69" spans="1:19" x14ac:dyDescent="0.2">
      <c r="A69" s="152">
        <v>215</v>
      </c>
      <c r="B69" s="152" t="s">
        <v>41</v>
      </c>
      <c r="C69" s="152" t="s">
        <v>41</v>
      </c>
      <c r="D69" s="152" t="s">
        <v>36</v>
      </c>
      <c r="E69" s="152">
        <v>289</v>
      </c>
      <c r="F69" s="151">
        <v>7.36</v>
      </c>
      <c r="G69" s="151">
        <v>7.7700000000000005E-2</v>
      </c>
      <c r="H69" s="151">
        <v>35</v>
      </c>
      <c r="I69" s="153">
        <v>127.083</v>
      </c>
      <c r="J69" s="153">
        <v>1.8720000000000001</v>
      </c>
      <c r="K69" s="153">
        <v>0.89800000000000002</v>
      </c>
      <c r="L69" s="154">
        <v>25.856796266766999</v>
      </c>
      <c r="M69" s="154">
        <v>25.956067359310001</v>
      </c>
      <c r="N69" s="155">
        <v>86521.348687327598</v>
      </c>
      <c r="O69" s="156">
        <v>81238.643700831904</v>
      </c>
      <c r="P69" s="152">
        <v>151.91499999999999</v>
      </c>
      <c r="Q69" s="152">
        <v>1.8460000000000001</v>
      </c>
      <c r="R69" s="152">
        <v>3.6266667000000002E-2</v>
      </c>
    </row>
    <row r="70" spans="1:19" x14ac:dyDescent="0.2">
      <c r="A70" s="152">
        <v>235</v>
      </c>
      <c r="B70" s="152" t="s">
        <v>41</v>
      </c>
      <c r="C70" s="152" t="s">
        <v>41</v>
      </c>
      <c r="D70" s="152" t="s">
        <v>36</v>
      </c>
      <c r="E70" s="152">
        <v>289</v>
      </c>
      <c r="F70" s="151">
        <v>5.67</v>
      </c>
      <c r="G70" s="151">
        <v>3.4700000000000002E-2</v>
      </c>
      <c r="H70" s="151">
        <v>29</v>
      </c>
      <c r="I70" s="153">
        <v>73.816999999999993</v>
      </c>
      <c r="J70" s="153">
        <v>1.9630000000000001</v>
      </c>
      <c r="K70" s="153">
        <v>1.0489999999999999</v>
      </c>
      <c r="L70" s="154">
        <v>28.026851537042599</v>
      </c>
      <c r="M70" s="154">
        <v>27.8150496212813</v>
      </c>
      <c r="N70" s="155">
        <v>21828.464442854001</v>
      </c>
      <c r="O70" s="156">
        <v>24968.876489666502</v>
      </c>
      <c r="P70" s="152">
        <v>73.647999999999996</v>
      </c>
      <c r="Q70" s="152">
        <v>0.752</v>
      </c>
      <c r="R70" s="152">
        <v>3.6266667000000002E-2</v>
      </c>
    </row>
    <row r="71" spans="1:19" x14ac:dyDescent="0.2">
      <c r="A71" s="152">
        <v>250</v>
      </c>
      <c r="B71" s="152" t="s">
        <v>41</v>
      </c>
      <c r="C71" s="152" t="s">
        <v>41</v>
      </c>
      <c r="D71" s="152" t="s">
        <v>36</v>
      </c>
      <c r="E71" s="152">
        <v>122</v>
      </c>
      <c r="F71" s="151">
        <v>4.9000000000000004</v>
      </c>
      <c r="G71" s="151">
        <v>1.9900000000000001E-2</v>
      </c>
      <c r="H71" s="151">
        <v>25</v>
      </c>
      <c r="I71" s="153">
        <v>8.3819999999999997</v>
      </c>
      <c r="J71" s="153">
        <v>1.696</v>
      </c>
      <c r="K71" s="153">
        <v>0.219</v>
      </c>
      <c r="L71" s="154">
        <v>25.8369665821483</v>
      </c>
      <c r="M71" s="154">
        <v>25.857626824353201</v>
      </c>
      <c r="N71" s="155">
        <v>87617.053070076407</v>
      </c>
      <c r="O71" s="156">
        <v>86475.755774141202</v>
      </c>
      <c r="P71" s="152">
        <v>85.41</v>
      </c>
      <c r="Q71" s="152">
        <v>0.91799999999999993</v>
      </c>
      <c r="R71" s="152">
        <v>3.6266667000000002E-2</v>
      </c>
    </row>
    <row r="72" spans="1:19" x14ac:dyDescent="0.2">
      <c r="A72" s="152">
        <v>31</v>
      </c>
      <c r="B72" s="152" t="s">
        <v>50</v>
      </c>
      <c r="C72" s="152" t="s">
        <v>50</v>
      </c>
      <c r="D72" s="152" t="s">
        <v>36</v>
      </c>
      <c r="E72" s="152">
        <v>128</v>
      </c>
      <c r="F72" s="151">
        <v>6.42</v>
      </c>
      <c r="G72" s="151">
        <v>7.5499999999999998E-2</v>
      </c>
      <c r="H72" s="151">
        <v>33</v>
      </c>
      <c r="I72" s="151">
        <v>96.793000000000006</v>
      </c>
      <c r="J72" s="151">
        <v>1.98</v>
      </c>
      <c r="K72" s="151">
        <v>1.21</v>
      </c>
      <c r="L72" s="166">
        <v>28.591009684417202</v>
      </c>
      <c r="M72" s="166">
        <v>29.079637681476399</v>
      </c>
      <c r="N72" s="155">
        <v>17704.187334540198</v>
      </c>
      <c r="O72" s="156">
        <v>12871.941570971299</v>
      </c>
      <c r="P72" s="152">
        <v>246.7295</v>
      </c>
      <c r="Q72" s="152">
        <v>34.671999999999997</v>
      </c>
      <c r="R72" s="152">
        <v>3.5633333000000003E-2</v>
      </c>
    </row>
    <row r="73" spans="1:19" x14ac:dyDescent="0.2">
      <c r="A73" s="152">
        <v>60</v>
      </c>
      <c r="B73" s="152" t="s">
        <v>50</v>
      </c>
      <c r="C73" s="152" t="s">
        <v>50</v>
      </c>
      <c r="D73" s="152" t="s">
        <v>36</v>
      </c>
      <c r="E73" s="152">
        <v>289</v>
      </c>
      <c r="F73" s="151">
        <v>7.61</v>
      </c>
      <c r="G73" s="151">
        <v>0.11509999999999999</v>
      </c>
      <c r="H73" s="151">
        <v>37</v>
      </c>
      <c r="I73" s="151">
        <v>138.72900000000001</v>
      </c>
      <c r="J73" s="151">
        <v>1.913</v>
      </c>
      <c r="K73" s="151">
        <v>1.05</v>
      </c>
      <c r="L73" s="166">
        <v>28.271759752863598</v>
      </c>
      <c r="M73" s="166">
        <v>28.104001965677799</v>
      </c>
      <c r="N73" s="155">
        <v>7450.6997035771901</v>
      </c>
      <c r="O73" s="156">
        <v>8336.0132947314305</v>
      </c>
      <c r="P73" s="152">
        <v>80.1815</v>
      </c>
      <c r="Q73" s="152">
        <v>24.5945</v>
      </c>
      <c r="R73" s="152">
        <v>3.5633333000000003E-2</v>
      </c>
    </row>
    <row r="74" spans="1:19" x14ac:dyDescent="0.2">
      <c r="A74" s="152">
        <v>65</v>
      </c>
      <c r="B74" s="152" t="s">
        <v>50</v>
      </c>
      <c r="C74" s="152" t="s">
        <v>50</v>
      </c>
      <c r="D74" s="152" t="s">
        <v>36</v>
      </c>
      <c r="E74" s="152">
        <v>289</v>
      </c>
      <c r="F74" s="151">
        <v>7.46</v>
      </c>
      <c r="G74" s="151">
        <v>9.9000000000000005E-2</v>
      </c>
      <c r="H74" s="151">
        <v>36</v>
      </c>
      <c r="I74" s="151">
        <v>116.872</v>
      </c>
      <c r="J74" s="151">
        <v>1.9390000000000001</v>
      </c>
      <c r="K74" s="151">
        <v>1.173</v>
      </c>
      <c r="L74" s="166">
        <v>27.493721635639702</v>
      </c>
      <c r="M74" s="166">
        <v>27.544233507721199</v>
      </c>
      <c r="N74" s="155">
        <v>12541.3881546869</v>
      </c>
      <c r="O74" s="156">
        <v>12124.492511327901</v>
      </c>
      <c r="P74" s="152">
        <v>155.44999999999999</v>
      </c>
      <c r="Q74" s="152">
        <v>32.247</v>
      </c>
      <c r="R74" s="152">
        <v>3.5633333000000003E-2</v>
      </c>
    </row>
    <row r="75" spans="1:19" x14ac:dyDescent="0.2">
      <c r="A75" s="152">
        <v>89</v>
      </c>
      <c r="B75" s="152" t="s">
        <v>50</v>
      </c>
      <c r="C75" s="152" t="s">
        <v>50</v>
      </c>
      <c r="D75" s="152" t="s">
        <v>36</v>
      </c>
      <c r="E75" s="152">
        <v>289</v>
      </c>
      <c r="F75" s="151">
        <v>6.52</v>
      </c>
      <c r="G75" s="151">
        <v>6.6699999999999995E-2</v>
      </c>
      <c r="H75" s="151">
        <v>34</v>
      </c>
      <c r="I75" s="151">
        <v>90.647000000000006</v>
      </c>
      <c r="J75" s="151">
        <v>1.9339999999999999</v>
      </c>
      <c r="K75" s="151">
        <v>1.038</v>
      </c>
      <c r="L75" s="166">
        <v>26.673552938194899</v>
      </c>
      <c r="M75" s="166">
        <v>26.377574087960301</v>
      </c>
      <c r="N75" s="155">
        <v>21714.0108069739</v>
      </c>
      <c r="O75" s="156">
        <v>26471.026347937001</v>
      </c>
      <c r="P75" s="152">
        <v>26.76</v>
      </c>
      <c r="Q75" s="152">
        <v>4.2439999999999998</v>
      </c>
      <c r="R75" s="152">
        <v>3.5633333000000003E-2</v>
      </c>
    </row>
    <row r="76" spans="1:19" x14ac:dyDescent="0.2">
      <c r="A76" s="152">
        <v>150</v>
      </c>
      <c r="B76" s="152" t="s">
        <v>50</v>
      </c>
      <c r="C76" s="152" t="s">
        <v>50</v>
      </c>
      <c r="D76" s="152" t="s">
        <v>36</v>
      </c>
      <c r="E76" s="152">
        <v>289</v>
      </c>
      <c r="F76" s="151">
        <v>7.77</v>
      </c>
      <c r="G76" s="151">
        <v>0.13439999999999999</v>
      </c>
      <c r="H76" s="151">
        <v>35</v>
      </c>
      <c r="I76" s="151">
        <v>89.882999999999996</v>
      </c>
      <c r="J76" s="151">
        <v>2.0230000000000001</v>
      </c>
      <c r="K76" s="151">
        <v>1.385</v>
      </c>
      <c r="L76" s="166">
        <v>14.1621006958551</v>
      </c>
      <c r="M76" s="166">
        <v>14.600570143654201</v>
      </c>
      <c r="N76" s="155">
        <v>94055225.5334308</v>
      </c>
      <c r="O76" s="156">
        <v>70135056.398561999</v>
      </c>
      <c r="P76" s="152">
        <v>148.30099999999999</v>
      </c>
      <c r="Q76" s="152">
        <v>16.056000000000001</v>
      </c>
      <c r="R76" s="152">
        <v>3.5633333000000003E-2</v>
      </c>
    </row>
    <row r="77" spans="1:19" x14ac:dyDescent="0.2">
      <c r="A77" s="152">
        <v>211</v>
      </c>
      <c r="B77" s="152" t="s">
        <v>50</v>
      </c>
      <c r="C77" s="152" t="s">
        <v>50</v>
      </c>
      <c r="D77" s="152" t="s">
        <v>36</v>
      </c>
      <c r="E77" s="152">
        <v>289</v>
      </c>
      <c r="F77" s="151">
        <v>6.39</v>
      </c>
      <c r="G77" s="151">
        <v>7.1099999999999997E-2</v>
      </c>
      <c r="H77" s="151">
        <v>35</v>
      </c>
      <c r="I77" s="151">
        <v>82.042000000000002</v>
      </c>
      <c r="J77" s="151">
        <v>1.99</v>
      </c>
      <c r="K77" s="151">
        <v>1.157</v>
      </c>
      <c r="L77" s="166">
        <v>26.776936958423001</v>
      </c>
      <c r="M77" s="166">
        <v>28.102592651260501</v>
      </c>
      <c r="N77" s="155">
        <v>20262.355003053101</v>
      </c>
      <c r="O77" s="156">
        <v>8343.8797621845206</v>
      </c>
      <c r="P77" s="152">
        <v>131.84299999999999</v>
      </c>
      <c r="Q77" s="152">
        <v>24.03</v>
      </c>
      <c r="R77" s="152">
        <v>3.5633333000000003E-2</v>
      </c>
    </row>
    <row r="78" spans="1:19" x14ac:dyDescent="0.2">
      <c r="A78" s="152">
        <v>238</v>
      </c>
      <c r="B78" s="152" t="s">
        <v>50</v>
      </c>
      <c r="C78" s="152" t="s">
        <v>50</v>
      </c>
      <c r="D78" s="152" t="s">
        <v>36</v>
      </c>
      <c r="E78" s="152">
        <v>289</v>
      </c>
      <c r="F78" s="151">
        <v>7.33</v>
      </c>
      <c r="G78" s="151">
        <v>8.1799999999999998E-2</v>
      </c>
      <c r="H78" s="151">
        <v>35</v>
      </c>
      <c r="I78" s="151">
        <v>95.912000000000006</v>
      </c>
      <c r="J78" s="151">
        <v>1.9430000000000001</v>
      </c>
      <c r="K78" s="151">
        <v>1.016</v>
      </c>
      <c r="L78" s="166">
        <v>29.8495071992789</v>
      </c>
      <c r="M78" s="166">
        <v>29.623024788455499</v>
      </c>
      <c r="N78" s="155">
        <v>2591.7964744205701</v>
      </c>
      <c r="O78" s="156">
        <v>3016.0006716620501</v>
      </c>
      <c r="P78" s="152">
        <v>41.795000000000002</v>
      </c>
      <c r="Q78" s="152">
        <v>4.6449999999999996</v>
      </c>
      <c r="R78" s="152">
        <v>3.5633333000000003E-2</v>
      </c>
    </row>
    <row r="79" spans="1:19" x14ac:dyDescent="0.2">
      <c r="A79" s="152">
        <v>244</v>
      </c>
      <c r="B79" s="152" t="s">
        <v>50</v>
      </c>
      <c r="C79" s="152" t="s">
        <v>50</v>
      </c>
      <c r="D79" s="152" t="s">
        <v>36</v>
      </c>
      <c r="E79" s="152">
        <v>289</v>
      </c>
      <c r="F79" s="151">
        <v>7.35</v>
      </c>
      <c r="G79" s="151">
        <v>0.1108</v>
      </c>
      <c r="H79" s="151">
        <v>35</v>
      </c>
      <c r="I79" s="151">
        <v>99.436000000000007</v>
      </c>
      <c r="J79" s="151">
        <v>1.954</v>
      </c>
      <c r="K79" s="151">
        <v>1.111</v>
      </c>
      <c r="L79" s="166">
        <v>26.927217771607399</v>
      </c>
      <c r="M79" s="166">
        <v>27.4548199833987</v>
      </c>
      <c r="N79" s="155">
        <v>18323.504033805199</v>
      </c>
      <c r="O79" s="156">
        <v>12872.2054612922</v>
      </c>
      <c r="P79" s="152">
        <v>116.38800000000001</v>
      </c>
      <c r="Q79" s="152">
        <v>16.452999999999999</v>
      </c>
      <c r="R79" s="152">
        <v>3.5633333000000003E-2</v>
      </c>
    </row>
    <row r="80" spans="1:19" x14ac:dyDescent="0.2">
      <c r="A80" s="152">
        <v>255</v>
      </c>
      <c r="B80" s="152" t="s">
        <v>50</v>
      </c>
      <c r="C80" s="152" t="s">
        <v>50</v>
      </c>
      <c r="D80" s="152" t="s">
        <v>36</v>
      </c>
      <c r="E80" s="152">
        <v>174</v>
      </c>
      <c r="F80" s="151">
        <v>5.83</v>
      </c>
      <c r="G80" s="151">
        <v>4.4600000000000001E-2</v>
      </c>
      <c r="H80" s="151">
        <v>28</v>
      </c>
      <c r="I80" s="151">
        <v>9.1419999999999995</v>
      </c>
      <c r="J80" s="151">
        <v>1.917</v>
      </c>
      <c r="K80" s="151">
        <v>0.247</v>
      </c>
      <c r="L80" s="166">
        <v>25.7943637799399</v>
      </c>
      <c r="M80" s="166">
        <v>25.631751072761201</v>
      </c>
      <c r="N80" s="155">
        <v>39110.167838861496</v>
      </c>
      <c r="O80" s="156">
        <v>43606.931054998902</v>
      </c>
      <c r="P80" s="152">
        <v>87.103999999999999</v>
      </c>
      <c r="Q80" s="152">
        <v>6.2679999999999998</v>
      </c>
      <c r="R80" s="152">
        <v>3.5633333000000003E-2</v>
      </c>
    </row>
    <row r="81" spans="1:19" x14ac:dyDescent="0.2">
      <c r="A81" s="152">
        <v>264</v>
      </c>
      <c r="B81" s="152" t="s">
        <v>50</v>
      </c>
      <c r="C81" s="152" t="s">
        <v>50</v>
      </c>
      <c r="D81" s="152" t="s">
        <v>36</v>
      </c>
      <c r="E81" s="152">
        <v>102</v>
      </c>
      <c r="F81" s="151">
        <v>3.93</v>
      </c>
      <c r="G81" s="151">
        <v>2.0199999999999999E-2</v>
      </c>
      <c r="H81" s="151">
        <v>27</v>
      </c>
      <c r="I81" s="151">
        <v>20.603000000000002</v>
      </c>
      <c r="J81" s="151">
        <v>2.1110000000000002</v>
      </c>
      <c r="K81" s="151">
        <v>0.58599999999999997</v>
      </c>
      <c r="L81" s="166">
        <v>18.302164378697899</v>
      </c>
      <c r="M81" s="166">
        <v>18.640134632020299</v>
      </c>
      <c r="N81" s="155">
        <v>5888582.7833831897</v>
      </c>
      <c r="O81" s="156">
        <v>4696503.1461412003</v>
      </c>
      <c r="P81" s="152">
        <v>72.671000000000006</v>
      </c>
      <c r="Q81" s="152">
        <v>8.6489999999999991</v>
      </c>
      <c r="R81" s="152">
        <v>3.5633333000000003E-2</v>
      </c>
    </row>
    <row r="82" spans="1:19" x14ac:dyDescent="0.2">
      <c r="A82" s="152">
        <v>1</v>
      </c>
      <c r="B82" s="152" t="s">
        <v>51</v>
      </c>
      <c r="C82" s="152" t="s">
        <v>40</v>
      </c>
      <c r="D82" s="152" t="s">
        <v>36</v>
      </c>
      <c r="E82" s="152">
        <v>289</v>
      </c>
      <c r="F82" s="151">
        <v>13.07</v>
      </c>
      <c r="G82" s="151">
        <v>0.39650000000000002</v>
      </c>
      <c r="H82" s="151">
        <v>31</v>
      </c>
      <c r="I82" s="151">
        <v>223.15600000000001</v>
      </c>
      <c r="J82" s="151">
        <v>1.907</v>
      </c>
      <c r="K82" s="151">
        <v>1.331</v>
      </c>
      <c r="L82" s="154">
        <v>29.951152226990601</v>
      </c>
      <c r="M82" s="154">
        <v>30.077221157477599</v>
      </c>
      <c r="N82" s="155">
        <v>2421.34252641694</v>
      </c>
      <c r="O82" s="156">
        <v>2225.4220500000001</v>
      </c>
      <c r="P82" s="152">
        <v>198.92400000000001</v>
      </c>
      <c r="Q82" s="152">
        <v>59.634</v>
      </c>
      <c r="R82" s="152">
        <v>0.72803333299999995</v>
      </c>
    </row>
    <row r="83" spans="1:19" x14ac:dyDescent="0.2">
      <c r="A83" s="152">
        <v>59</v>
      </c>
      <c r="B83" s="152" t="s">
        <v>51</v>
      </c>
      <c r="C83" s="152" t="s">
        <v>40</v>
      </c>
      <c r="D83" s="152" t="s">
        <v>36</v>
      </c>
      <c r="E83" s="152">
        <v>218</v>
      </c>
      <c r="F83" s="151">
        <v>15.21</v>
      </c>
      <c r="G83" s="151">
        <v>0.69120000000000004</v>
      </c>
      <c r="H83" s="151">
        <v>33</v>
      </c>
      <c r="I83" s="151">
        <v>61.917000000000002</v>
      </c>
      <c r="J83" s="151">
        <v>1.7989999999999999</v>
      </c>
      <c r="K83" s="151">
        <v>0.63200000000000001</v>
      </c>
      <c r="L83" s="154">
        <v>18.86</v>
      </c>
      <c r="M83" s="154">
        <v>18.341376864904898</v>
      </c>
      <c r="N83" s="155">
        <v>10112440.497008501</v>
      </c>
      <c r="O83" s="156">
        <v>14186426.5941641</v>
      </c>
      <c r="P83" s="152">
        <v>309.82299999999998</v>
      </c>
      <c r="Q83" s="152">
        <v>42.258000000000003</v>
      </c>
      <c r="R83" s="152">
        <v>0.72803333299999995</v>
      </c>
    </row>
    <row r="84" spans="1:19" x14ac:dyDescent="0.2">
      <c r="A84" s="152">
        <v>64</v>
      </c>
      <c r="B84" s="152" t="s">
        <v>51</v>
      </c>
      <c r="C84" s="152" t="s">
        <v>40</v>
      </c>
      <c r="D84" s="152" t="s">
        <v>36</v>
      </c>
      <c r="E84" s="152">
        <v>192</v>
      </c>
      <c r="F84" s="151">
        <v>13.44</v>
      </c>
      <c r="G84" s="151">
        <v>0.5121</v>
      </c>
      <c r="H84" s="151">
        <v>29</v>
      </c>
      <c r="I84" s="151">
        <v>26.802</v>
      </c>
      <c r="J84" s="151">
        <v>1.909</v>
      </c>
      <c r="K84" s="151">
        <v>0.53200000000000003</v>
      </c>
      <c r="L84" s="154">
        <v>18.205654107243301</v>
      </c>
      <c r="M84" s="154">
        <v>17.527369347130801</v>
      </c>
      <c r="N84" s="155">
        <v>6281494.0880947402</v>
      </c>
      <c r="O84" s="156">
        <v>9890464.3672423791</v>
      </c>
      <c r="P84" s="152">
        <v>94.581999999999994</v>
      </c>
      <c r="Q84" s="152">
        <v>22.501000000000001</v>
      </c>
      <c r="R84" s="152">
        <v>0.72803333299999995</v>
      </c>
    </row>
    <row r="85" spans="1:19" x14ac:dyDescent="0.2">
      <c r="A85" s="152">
        <v>123</v>
      </c>
      <c r="B85" s="152" t="s">
        <v>51</v>
      </c>
      <c r="C85" s="152" t="s">
        <v>40</v>
      </c>
      <c r="D85" s="152" t="s">
        <v>36</v>
      </c>
      <c r="E85" s="152">
        <v>289</v>
      </c>
      <c r="F85" s="151">
        <v>11.13</v>
      </c>
      <c r="G85" s="151">
        <v>0.2122</v>
      </c>
      <c r="H85" s="151">
        <v>28</v>
      </c>
      <c r="I85" s="151">
        <v>185.286</v>
      </c>
      <c r="J85" s="151">
        <v>1.929</v>
      </c>
      <c r="K85" s="151">
        <v>1.522</v>
      </c>
      <c r="L85" s="154">
        <v>28.575578483987002</v>
      </c>
      <c r="M85" s="154">
        <v>28.693688410038799</v>
      </c>
      <c r="N85" s="155">
        <v>6079.7755860194302</v>
      </c>
      <c r="O85" s="156">
        <v>5617.6814920676197</v>
      </c>
      <c r="P85" s="152">
        <v>174.26900000000001</v>
      </c>
      <c r="Q85" s="152">
        <v>20.417000000000002</v>
      </c>
      <c r="R85" s="152">
        <v>0.72803333299999995</v>
      </c>
    </row>
    <row r="86" spans="1:19" x14ac:dyDescent="0.2">
      <c r="A86" s="152">
        <v>195</v>
      </c>
      <c r="B86" s="152" t="s">
        <v>51</v>
      </c>
      <c r="C86" s="152" t="s">
        <v>40</v>
      </c>
      <c r="D86" s="152" t="s">
        <v>36</v>
      </c>
      <c r="E86" s="152">
        <v>289</v>
      </c>
      <c r="F86" s="151">
        <v>10.94</v>
      </c>
      <c r="G86" s="151">
        <v>0.23089999999999999</v>
      </c>
      <c r="H86" s="151">
        <v>28</v>
      </c>
      <c r="I86" s="151">
        <v>228.40600000000001</v>
      </c>
      <c r="J86" s="151">
        <v>1.95</v>
      </c>
      <c r="K86" s="151">
        <v>1.5880000000000001</v>
      </c>
      <c r="L86" s="154">
        <v>29.818086826541101</v>
      </c>
      <c r="M86" s="154">
        <v>29.407092871076301</v>
      </c>
      <c r="N86" s="155">
        <v>2646.8766421963401</v>
      </c>
      <c r="O86" s="156">
        <v>3484.9400581774598</v>
      </c>
      <c r="P86" s="152">
        <v>95.194000000000003</v>
      </c>
      <c r="Q86" s="152">
        <v>20.652000000000001</v>
      </c>
      <c r="R86" s="152">
        <v>0.72803333299999995</v>
      </c>
    </row>
    <row r="87" spans="1:19" x14ac:dyDescent="0.2">
      <c r="A87" s="152">
        <v>199</v>
      </c>
      <c r="B87" s="152" t="s">
        <v>51</v>
      </c>
      <c r="C87" s="152" t="s">
        <v>40</v>
      </c>
      <c r="D87" s="152" t="s">
        <v>36</v>
      </c>
      <c r="E87" s="152">
        <v>289</v>
      </c>
      <c r="F87" s="151">
        <v>12.76</v>
      </c>
      <c r="G87" s="151">
        <v>0.47620000000000001</v>
      </c>
      <c r="H87" s="151">
        <v>34</v>
      </c>
      <c r="I87" s="151">
        <v>363.47500000000002</v>
      </c>
      <c r="J87" s="151">
        <v>1.9970000000000001</v>
      </c>
      <c r="K87" s="151">
        <v>1.81</v>
      </c>
      <c r="L87" s="154">
        <v>29.008639305357299</v>
      </c>
      <c r="M87" s="154">
        <v>28.83</v>
      </c>
      <c r="N87" s="155">
        <v>4550.0049548246998</v>
      </c>
      <c r="O87" s="156">
        <v>5118.9826239235299</v>
      </c>
      <c r="P87" s="152">
        <v>94.295000000000002</v>
      </c>
      <c r="Q87" s="152">
        <v>24.4255</v>
      </c>
      <c r="R87" s="152">
        <v>0.72803333299999995</v>
      </c>
    </row>
    <row r="88" spans="1:19" x14ac:dyDescent="0.2">
      <c r="A88" s="152">
        <v>202</v>
      </c>
      <c r="B88" s="152" t="s">
        <v>51</v>
      </c>
      <c r="C88" s="152" t="s">
        <v>40</v>
      </c>
      <c r="D88" s="152" t="s">
        <v>36</v>
      </c>
      <c r="E88" s="152">
        <v>289</v>
      </c>
      <c r="F88" s="151">
        <v>15.66</v>
      </c>
      <c r="G88" s="151">
        <v>0.56410000000000005</v>
      </c>
      <c r="H88" s="151">
        <v>35</v>
      </c>
      <c r="I88" s="151">
        <v>320.87599999999998</v>
      </c>
      <c r="J88" s="151">
        <v>1.98</v>
      </c>
      <c r="K88" s="151">
        <v>1.7430000000000001</v>
      </c>
      <c r="L88" s="154">
        <v>29.498758617978002</v>
      </c>
      <c r="M88" s="154">
        <v>29.360849862808799</v>
      </c>
      <c r="N88" s="155">
        <v>3277.56472148475</v>
      </c>
      <c r="O88" s="156">
        <v>3594.4838981672601</v>
      </c>
      <c r="P88" s="152">
        <v>127.318</v>
      </c>
      <c r="Q88" s="152">
        <v>34.716000000000001</v>
      </c>
      <c r="R88" s="152">
        <v>0.72803333299999995</v>
      </c>
    </row>
    <row r="89" spans="1:19" x14ac:dyDescent="0.2">
      <c r="A89" s="152">
        <v>218</v>
      </c>
      <c r="B89" s="152" t="s">
        <v>51</v>
      </c>
      <c r="C89" s="152" t="s">
        <v>40</v>
      </c>
      <c r="D89" s="152" t="s">
        <v>36</v>
      </c>
      <c r="E89" s="152">
        <v>289</v>
      </c>
      <c r="F89" s="151">
        <v>13.37</v>
      </c>
      <c r="G89" s="151">
        <v>0.45650000000000002</v>
      </c>
      <c r="H89" s="151">
        <v>28</v>
      </c>
      <c r="I89" s="151">
        <v>135.95400000000001</v>
      </c>
      <c r="J89" s="151">
        <v>1.919</v>
      </c>
      <c r="K89" s="151">
        <v>0.93500000000000005</v>
      </c>
      <c r="L89" s="154">
        <v>14.339550770866699</v>
      </c>
      <c r="M89" s="154">
        <v>14.422760659424</v>
      </c>
      <c r="N89" s="155">
        <v>83522672.131099194</v>
      </c>
      <c r="O89" s="156">
        <v>78998376.691449806</v>
      </c>
      <c r="P89" s="152">
        <v>61.390999999999998</v>
      </c>
      <c r="Q89" s="152">
        <v>17.538</v>
      </c>
      <c r="R89" s="152">
        <v>0.72803333299999995</v>
      </c>
    </row>
    <row r="90" spans="1:19" x14ac:dyDescent="0.2">
      <c r="A90" s="152">
        <v>243</v>
      </c>
      <c r="B90" s="152" t="s">
        <v>51</v>
      </c>
      <c r="C90" s="152" t="s">
        <v>40</v>
      </c>
      <c r="D90" s="152" t="s">
        <v>36</v>
      </c>
      <c r="E90" s="152">
        <v>289</v>
      </c>
      <c r="F90" s="151">
        <v>13.61</v>
      </c>
      <c r="G90" s="151">
        <v>0.41439999999999999</v>
      </c>
      <c r="H90" s="151">
        <v>34</v>
      </c>
      <c r="I90" s="151">
        <v>386.74299999999999</v>
      </c>
      <c r="J90" s="151">
        <v>1.9079999999999999</v>
      </c>
      <c r="K90" s="151">
        <v>1.3919999999999999</v>
      </c>
      <c r="L90" s="154">
        <v>27.215205596530399</v>
      </c>
      <c r="M90" s="154">
        <v>27.806351735957598</v>
      </c>
      <c r="N90" s="155">
        <v>15111.254149694299</v>
      </c>
      <c r="O90" s="156">
        <v>10173.6066228781</v>
      </c>
      <c r="P90" s="152">
        <v>119.30500000000001</v>
      </c>
      <c r="Q90" s="152">
        <v>33.712000000000003</v>
      </c>
      <c r="R90" s="152">
        <v>0.72803333299999995</v>
      </c>
    </row>
    <row r="91" spans="1:19" x14ac:dyDescent="0.2">
      <c r="A91" s="152">
        <v>272</v>
      </c>
      <c r="B91" s="152" t="s">
        <v>51</v>
      </c>
      <c r="C91" s="152" t="s">
        <v>40</v>
      </c>
      <c r="D91" s="152" t="s">
        <v>36</v>
      </c>
      <c r="E91" s="152">
        <v>289</v>
      </c>
      <c r="F91" s="168" t="s">
        <v>106</v>
      </c>
      <c r="G91" s="169" t="s">
        <v>106</v>
      </c>
      <c r="H91" s="169" t="s">
        <v>106</v>
      </c>
      <c r="I91" s="169" t="s">
        <v>106</v>
      </c>
      <c r="J91" s="169" t="s">
        <v>106</v>
      </c>
      <c r="K91" s="169" t="s">
        <v>106</v>
      </c>
      <c r="L91" s="169" t="s">
        <v>106</v>
      </c>
      <c r="M91" s="169" t="s">
        <v>106</v>
      </c>
      <c r="N91" s="169" t="s">
        <v>106</v>
      </c>
      <c r="O91" s="170" t="s">
        <v>106</v>
      </c>
      <c r="P91" s="152">
        <v>334.60300000000001</v>
      </c>
      <c r="Q91" s="152">
        <v>114.268</v>
      </c>
      <c r="R91" s="152">
        <v>0.72803333299999995</v>
      </c>
      <c r="S91" s="158" t="s">
        <v>107</v>
      </c>
    </row>
    <row r="92" spans="1:19" x14ac:dyDescent="0.2">
      <c r="A92" s="152">
        <v>15</v>
      </c>
      <c r="B92" s="152" t="s">
        <v>42</v>
      </c>
      <c r="C92" s="152" t="s">
        <v>44</v>
      </c>
      <c r="D92" s="152" t="s">
        <v>52</v>
      </c>
      <c r="E92" s="152">
        <v>289</v>
      </c>
      <c r="F92" s="152">
        <v>0.27160000000000001</v>
      </c>
      <c r="G92" s="152">
        <v>13.62</v>
      </c>
      <c r="H92" s="152">
        <v>38</v>
      </c>
      <c r="I92" s="152">
        <v>191.3</v>
      </c>
      <c r="J92" s="152">
        <v>1.89</v>
      </c>
      <c r="K92" s="152">
        <v>1.1000000000000001</v>
      </c>
      <c r="L92" s="169" t="s">
        <v>106</v>
      </c>
      <c r="M92" s="169" t="s">
        <v>106</v>
      </c>
      <c r="N92" s="169" t="s">
        <v>106</v>
      </c>
      <c r="O92" s="170" t="s">
        <v>106</v>
      </c>
      <c r="P92" s="152">
        <v>265.34399999999999</v>
      </c>
      <c r="Q92" s="152">
        <v>41.215000000000003</v>
      </c>
      <c r="R92" s="152">
        <v>0.3458</v>
      </c>
      <c r="S92" s="158" t="s">
        <v>108</v>
      </c>
    </row>
    <row r="93" spans="1:19" x14ac:dyDescent="0.2">
      <c r="A93" s="152">
        <v>22</v>
      </c>
      <c r="B93" s="152" t="s">
        <v>42</v>
      </c>
      <c r="C93" s="152" t="s">
        <v>44</v>
      </c>
      <c r="D93" s="152" t="s">
        <v>52</v>
      </c>
      <c r="E93" s="152">
        <v>289</v>
      </c>
      <c r="F93" s="152">
        <v>0.40210000000000001</v>
      </c>
      <c r="G93" s="152">
        <v>14.74</v>
      </c>
      <c r="H93" s="152">
        <v>36</v>
      </c>
      <c r="I93" s="152">
        <v>148.9</v>
      </c>
      <c r="J93" s="152">
        <v>1.85</v>
      </c>
      <c r="K93" s="152">
        <v>0.92</v>
      </c>
      <c r="L93" s="169" t="s">
        <v>106</v>
      </c>
      <c r="M93" s="169" t="s">
        <v>106</v>
      </c>
      <c r="N93" s="169" t="s">
        <v>106</v>
      </c>
      <c r="O93" s="170" t="s">
        <v>106</v>
      </c>
      <c r="P93" s="152">
        <v>224.54400000000001</v>
      </c>
      <c r="Q93" s="152">
        <v>29.02</v>
      </c>
      <c r="R93" s="152">
        <v>0.3458</v>
      </c>
      <c r="S93" s="158" t="s">
        <v>108</v>
      </c>
    </row>
    <row r="94" spans="1:19" x14ac:dyDescent="0.2">
      <c r="A94" s="152">
        <v>79</v>
      </c>
      <c r="B94" s="152" t="s">
        <v>42</v>
      </c>
      <c r="C94" s="152" t="s">
        <v>44</v>
      </c>
      <c r="D94" s="152" t="s">
        <v>52</v>
      </c>
      <c r="E94" s="152">
        <v>289</v>
      </c>
      <c r="F94" s="152">
        <v>0.41420000000000001</v>
      </c>
      <c r="G94" s="152">
        <v>13.73</v>
      </c>
      <c r="H94" s="152">
        <v>39</v>
      </c>
      <c r="I94" s="152">
        <v>167.3</v>
      </c>
      <c r="J94" s="152">
        <v>2.02</v>
      </c>
      <c r="K94" s="152">
        <v>1.56</v>
      </c>
      <c r="L94" s="169" t="s">
        <v>106</v>
      </c>
      <c r="M94" s="169" t="s">
        <v>106</v>
      </c>
      <c r="N94" s="169" t="s">
        <v>106</v>
      </c>
      <c r="O94" s="170" t="s">
        <v>106</v>
      </c>
      <c r="P94" s="152">
        <v>248.059</v>
      </c>
      <c r="Q94" s="152">
        <v>38.134</v>
      </c>
      <c r="R94" s="152">
        <v>0.3458</v>
      </c>
      <c r="S94" s="158" t="s">
        <v>108</v>
      </c>
    </row>
    <row r="95" spans="1:19" x14ac:dyDescent="0.2">
      <c r="A95" s="152">
        <v>113</v>
      </c>
      <c r="B95" s="152" t="s">
        <v>42</v>
      </c>
      <c r="C95" s="152" t="s">
        <v>44</v>
      </c>
      <c r="D95" s="152" t="s">
        <v>52</v>
      </c>
      <c r="E95" s="152">
        <v>289</v>
      </c>
      <c r="F95" s="152">
        <v>0.25109999999999999</v>
      </c>
      <c r="G95" s="152">
        <v>12.7</v>
      </c>
      <c r="H95" s="152">
        <v>35</v>
      </c>
      <c r="I95" s="152">
        <v>173.2</v>
      </c>
      <c r="J95" s="152">
        <v>1.84</v>
      </c>
      <c r="K95" s="152">
        <v>0.96</v>
      </c>
      <c r="L95" s="169" t="s">
        <v>106</v>
      </c>
      <c r="M95" s="169" t="s">
        <v>106</v>
      </c>
      <c r="N95" s="169" t="s">
        <v>106</v>
      </c>
      <c r="O95" s="170" t="s">
        <v>106</v>
      </c>
      <c r="P95" s="152">
        <v>213.815</v>
      </c>
      <c r="Q95" s="152">
        <v>49.21</v>
      </c>
      <c r="R95" s="152">
        <v>0.3458</v>
      </c>
      <c r="S95" s="158" t="s">
        <v>108</v>
      </c>
    </row>
    <row r="96" spans="1:19" x14ac:dyDescent="0.2">
      <c r="A96" s="152">
        <v>263</v>
      </c>
      <c r="B96" s="152" t="s">
        <v>42</v>
      </c>
      <c r="C96" s="152" t="s">
        <v>44</v>
      </c>
      <c r="D96" s="152" t="s">
        <v>52</v>
      </c>
      <c r="E96" s="152">
        <v>289</v>
      </c>
      <c r="F96" s="152">
        <v>0.39019999999999999</v>
      </c>
      <c r="G96" s="152">
        <v>15.49</v>
      </c>
      <c r="H96" s="152">
        <v>40</v>
      </c>
      <c r="I96" s="152">
        <v>147.80000000000001</v>
      </c>
      <c r="J96" s="152">
        <v>1.99</v>
      </c>
      <c r="K96" s="152">
        <v>1.29</v>
      </c>
      <c r="L96" s="169" t="s">
        <v>106</v>
      </c>
      <c r="M96" s="169" t="s">
        <v>106</v>
      </c>
      <c r="N96" s="169" t="s">
        <v>106</v>
      </c>
      <c r="O96" s="170" t="s">
        <v>106</v>
      </c>
      <c r="P96" s="152">
        <v>254.935</v>
      </c>
      <c r="Q96" s="152">
        <v>30.934000000000001</v>
      </c>
      <c r="R96" s="152">
        <v>0.3458</v>
      </c>
      <c r="S96" s="158" t="s">
        <v>108</v>
      </c>
    </row>
    <row r="97" spans="1:19" x14ac:dyDescent="0.2">
      <c r="A97" s="152">
        <v>51</v>
      </c>
      <c r="B97" s="152" t="s">
        <v>42</v>
      </c>
      <c r="C97" s="152" t="s">
        <v>45</v>
      </c>
      <c r="D97" s="152" t="s">
        <v>52</v>
      </c>
      <c r="E97" s="152">
        <v>289</v>
      </c>
      <c r="F97" s="152">
        <v>14.9</v>
      </c>
      <c r="G97" s="152">
        <v>0.26169999999999999</v>
      </c>
      <c r="H97" s="152">
        <v>44</v>
      </c>
      <c r="I97" s="152">
        <v>86.9</v>
      </c>
      <c r="J97" s="152">
        <v>1.84</v>
      </c>
      <c r="K97" s="152">
        <v>0.82</v>
      </c>
      <c r="L97" s="152">
        <v>34.97</v>
      </c>
      <c r="M97" s="152">
        <v>34.36</v>
      </c>
      <c r="N97" s="164">
        <v>181.34777485350801</v>
      </c>
      <c r="O97" s="165">
        <v>270.16748533267901</v>
      </c>
      <c r="P97" s="151">
        <v>220.54300000000001</v>
      </c>
      <c r="Q97" s="151">
        <v>43.960999999999999</v>
      </c>
      <c r="R97" s="152">
        <v>0.2848</v>
      </c>
    </row>
    <row r="98" spans="1:19" x14ac:dyDescent="0.2">
      <c r="A98" s="152">
        <v>94</v>
      </c>
      <c r="B98" s="152" t="s">
        <v>42</v>
      </c>
      <c r="C98" s="152" t="s">
        <v>45</v>
      </c>
      <c r="D98" s="152" t="s">
        <v>52</v>
      </c>
      <c r="E98" s="152">
        <v>289</v>
      </c>
      <c r="F98" s="152">
        <v>12.67</v>
      </c>
      <c r="G98" s="152">
        <v>0.2581</v>
      </c>
      <c r="H98" s="152">
        <v>38</v>
      </c>
      <c r="I98" s="152">
        <v>304.10000000000002</v>
      </c>
      <c r="J98" s="152">
        <v>1.86</v>
      </c>
      <c r="K98" s="152">
        <v>0.98</v>
      </c>
      <c r="L98" s="152">
        <v>32.909999999999997</v>
      </c>
      <c r="M98" s="152">
        <v>32.03</v>
      </c>
      <c r="N98" s="164">
        <v>692.01117028356805</v>
      </c>
      <c r="O98" s="165">
        <v>1226.0649734604899</v>
      </c>
      <c r="P98" s="151">
        <v>237.70699999999999</v>
      </c>
      <c r="Q98" s="151">
        <v>44.378999999999998</v>
      </c>
      <c r="R98" s="152">
        <v>0.2848</v>
      </c>
    </row>
    <row r="99" spans="1:19" x14ac:dyDescent="0.2">
      <c r="A99" s="152">
        <v>106</v>
      </c>
      <c r="B99" s="152" t="s">
        <v>42</v>
      </c>
      <c r="C99" s="152" t="s">
        <v>45</v>
      </c>
      <c r="D99" s="152" t="s">
        <v>52</v>
      </c>
      <c r="E99" s="152">
        <v>289</v>
      </c>
      <c r="F99" s="152">
        <v>13.89</v>
      </c>
      <c r="G99" s="152">
        <v>0.41360000000000002</v>
      </c>
      <c r="H99" s="152">
        <v>39</v>
      </c>
      <c r="I99" s="152">
        <v>492.6</v>
      </c>
      <c r="J99" s="152">
        <v>1.92</v>
      </c>
      <c r="K99" s="152">
        <v>1.1399999999999999</v>
      </c>
      <c r="L99" s="152">
        <v>37.19</v>
      </c>
      <c r="M99" s="152">
        <v>35.28</v>
      </c>
      <c r="N99" s="164">
        <v>42.733852611499898</v>
      </c>
      <c r="O99" s="165">
        <v>147.75227579168799</v>
      </c>
      <c r="P99" s="151">
        <v>208.863</v>
      </c>
      <c r="Q99" s="151">
        <v>31.274999999999999</v>
      </c>
      <c r="R99" s="152">
        <v>0.2848</v>
      </c>
    </row>
    <row r="100" spans="1:19" x14ac:dyDescent="0.2">
      <c r="A100" s="152">
        <v>149</v>
      </c>
      <c r="B100" s="152" t="s">
        <v>42</v>
      </c>
      <c r="C100" s="152" t="s">
        <v>45</v>
      </c>
      <c r="D100" s="152" t="s">
        <v>52</v>
      </c>
      <c r="E100" s="152">
        <v>289</v>
      </c>
      <c r="F100" s="152">
        <v>13.41</v>
      </c>
      <c r="G100" s="152">
        <v>0.2235</v>
      </c>
      <c r="H100" s="152">
        <v>44</v>
      </c>
      <c r="I100" s="152">
        <v>312.10000000000002</v>
      </c>
      <c r="J100" s="152">
        <v>1.86</v>
      </c>
      <c r="K100" s="152">
        <v>1.08</v>
      </c>
      <c r="L100" s="152">
        <v>31.83</v>
      </c>
      <c r="M100" s="152">
        <v>31.44</v>
      </c>
      <c r="N100" s="164">
        <v>1399.02905315412</v>
      </c>
      <c r="O100" s="165">
        <v>1803.94677641564</v>
      </c>
      <c r="P100" s="151">
        <v>285.91199999999998</v>
      </c>
      <c r="Q100" s="151">
        <v>43.359000000000002</v>
      </c>
      <c r="R100" s="152">
        <v>0.2848</v>
      </c>
    </row>
    <row r="101" spans="1:19" x14ac:dyDescent="0.2">
      <c r="A101" s="152">
        <v>267</v>
      </c>
      <c r="B101" s="152" t="s">
        <v>42</v>
      </c>
      <c r="C101" s="152" t="s">
        <v>45</v>
      </c>
      <c r="D101" s="152" t="s">
        <v>52</v>
      </c>
      <c r="E101" s="152">
        <v>289</v>
      </c>
      <c r="F101" s="152">
        <v>14.49</v>
      </c>
      <c r="G101" s="152">
        <v>0.376</v>
      </c>
      <c r="H101" s="152">
        <v>38</v>
      </c>
      <c r="I101" s="152">
        <v>255.4</v>
      </c>
      <c r="J101" s="152">
        <v>1.85</v>
      </c>
      <c r="K101" s="152">
        <v>0.93</v>
      </c>
      <c r="L101" s="152">
        <v>35.42</v>
      </c>
      <c r="M101" s="152">
        <v>34.479999999999997</v>
      </c>
      <c r="N101" s="164">
        <v>135.06189488272301</v>
      </c>
      <c r="O101" s="165">
        <v>249.818183179855</v>
      </c>
      <c r="P101" s="151">
        <v>213.911</v>
      </c>
      <c r="Q101" s="151">
        <v>71.831999999999994</v>
      </c>
      <c r="R101" s="152">
        <v>0.2848</v>
      </c>
    </row>
    <row r="102" spans="1:19" x14ac:dyDescent="0.2">
      <c r="A102" s="152">
        <v>33</v>
      </c>
      <c r="B102" s="152" t="s">
        <v>42</v>
      </c>
      <c r="C102" s="152" t="s">
        <v>46</v>
      </c>
      <c r="D102" s="152" t="s">
        <v>52</v>
      </c>
      <c r="E102" s="152">
        <v>289</v>
      </c>
      <c r="F102" s="152">
        <v>12.72</v>
      </c>
      <c r="G102" s="152">
        <v>0.24149999999999999</v>
      </c>
      <c r="H102" s="152">
        <v>36</v>
      </c>
      <c r="I102" s="152">
        <v>144.80000000000001</v>
      </c>
      <c r="J102" s="152">
        <v>1.88</v>
      </c>
      <c r="K102" s="152">
        <v>1.19</v>
      </c>
      <c r="L102" s="152">
        <v>32.35</v>
      </c>
      <c r="M102" s="152">
        <v>33.07</v>
      </c>
      <c r="N102" s="164">
        <v>997.23873455511296</v>
      </c>
      <c r="O102" s="165">
        <v>622.30531710685295</v>
      </c>
      <c r="P102" s="152">
        <v>74.206000000000003</v>
      </c>
      <c r="Q102" s="152">
        <v>17.600999999999999</v>
      </c>
      <c r="R102" s="152">
        <v>0.27943333300000001</v>
      </c>
    </row>
    <row r="103" spans="1:19" x14ac:dyDescent="0.2">
      <c r="A103" s="152">
        <v>44</v>
      </c>
      <c r="B103" s="152" t="s">
        <v>42</v>
      </c>
      <c r="C103" s="152" t="s">
        <v>46</v>
      </c>
      <c r="D103" s="152" t="s">
        <v>52</v>
      </c>
      <c r="E103" s="152">
        <v>289</v>
      </c>
      <c r="F103" s="152">
        <v>13.63</v>
      </c>
      <c r="G103" s="152">
        <v>0.2351</v>
      </c>
      <c r="H103" s="152">
        <v>40</v>
      </c>
      <c r="I103" s="152">
        <v>321.8</v>
      </c>
      <c r="J103" s="152">
        <v>1.84</v>
      </c>
      <c r="K103" s="152">
        <v>0.91</v>
      </c>
      <c r="L103" s="152" t="s">
        <v>106</v>
      </c>
      <c r="M103" s="152" t="s">
        <v>106</v>
      </c>
      <c r="N103" s="152" t="s">
        <v>106</v>
      </c>
      <c r="O103" s="167" t="s">
        <v>106</v>
      </c>
      <c r="P103" s="152">
        <v>134.202</v>
      </c>
      <c r="Q103" s="152">
        <v>28.722000000000001</v>
      </c>
      <c r="R103" s="152">
        <v>0.27943333300000001</v>
      </c>
      <c r="S103" s="158" t="s">
        <v>108</v>
      </c>
    </row>
    <row r="104" spans="1:19" x14ac:dyDescent="0.2">
      <c r="A104" s="152">
        <v>122</v>
      </c>
      <c r="B104" s="152" t="s">
        <v>42</v>
      </c>
      <c r="C104" s="152" t="s">
        <v>46</v>
      </c>
      <c r="D104" s="152" t="s">
        <v>52</v>
      </c>
      <c r="E104" s="152">
        <v>289</v>
      </c>
      <c r="F104" s="152">
        <v>14.06</v>
      </c>
      <c r="G104" s="152">
        <v>0.38009999999999999</v>
      </c>
      <c r="H104" s="152">
        <v>39</v>
      </c>
      <c r="I104" s="152">
        <v>865.4</v>
      </c>
      <c r="J104" s="152">
        <v>1.66</v>
      </c>
      <c r="K104" s="152">
        <v>0.65</v>
      </c>
      <c r="L104" s="152">
        <v>32.01</v>
      </c>
      <c r="M104" s="152">
        <v>32.4</v>
      </c>
      <c r="N104" s="164">
        <v>1245.6154444731999</v>
      </c>
      <c r="O104" s="165">
        <v>963.12749965582498</v>
      </c>
      <c r="P104" s="152">
        <v>210.58799999999999</v>
      </c>
      <c r="Q104" s="152">
        <v>39.905999999999999</v>
      </c>
      <c r="R104" s="152">
        <v>0.27943333300000001</v>
      </c>
    </row>
    <row r="105" spans="1:19" x14ac:dyDescent="0.2">
      <c r="A105" s="152">
        <v>147</v>
      </c>
      <c r="B105" s="152" t="s">
        <v>42</v>
      </c>
      <c r="C105" s="152" t="s">
        <v>46</v>
      </c>
      <c r="D105" s="152" t="s">
        <v>52</v>
      </c>
      <c r="E105" s="152">
        <v>289</v>
      </c>
      <c r="F105" s="152">
        <v>14.28</v>
      </c>
      <c r="G105" s="152">
        <v>0.38950000000000001</v>
      </c>
      <c r="H105" s="152">
        <v>37</v>
      </c>
      <c r="I105" s="152">
        <v>221.6</v>
      </c>
      <c r="J105" s="152">
        <v>1.92</v>
      </c>
      <c r="K105" s="152">
        <v>1.21</v>
      </c>
      <c r="L105" s="152">
        <v>37.11</v>
      </c>
      <c r="M105" s="152"/>
      <c r="N105" s="164">
        <v>45.098264801047698</v>
      </c>
      <c r="O105" s="165">
        <v>1269.1910041701899</v>
      </c>
      <c r="P105" s="152">
        <v>151.37200000000001</v>
      </c>
      <c r="Q105" s="152">
        <v>19.152999999999999</v>
      </c>
      <c r="R105" s="152">
        <v>0.27943333300000001</v>
      </c>
    </row>
    <row r="106" spans="1:19" x14ac:dyDescent="0.2">
      <c r="A106" s="152">
        <v>166</v>
      </c>
      <c r="B106" s="152" t="s">
        <v>42</v>
      </c>
      <c r="C106" s="152" t="s">
        <v>46</v>
      </c>
      <c r="D106" s="152" t="s">
        <v>52</v>
      </c>
      <c r="E106" s="152">
        <v>289</v>
      </c>
      <c r="F106" s="152">
        <v>14.31</v>
      </c>
      <c r="G106" s="152">
        <v>0.37459999999999999</v>
      </c>
      <c r="H106" s="152">
        <v>41</v>
      </c>
      <c r="I106" s="152">
        <v>178.9</v>
      </c>
      <c r="J106" s="152">
        <v>1.81</v>
      </c>
      <c r="K106" s="152">
        <v>0.87</v>
      </c>
      <c r="L106" s="152">
        <v>34.22</v>
      </c>
      <c r="M106" s="152">
        <v>34.17</v>
      </c>
      <c r="N106" s="164">
        <v>295.59775989490203</v>
      </c>
      <c r="O106" s="165">
        <v>304.21968458606699</v>
      </c>
      <c r="P106" s="152">
        <v>254.29900000000001</v>
      </c>
      <c r="Q106" s="152">
        <v>31.334</v>
      </c>
      <c r="R106" s="152">
        <v>0.27943333300000001</v>
      </c>
    </row>
    <row r="107" spans="1:19" x14ac:dyDescent="0.2">
      <c r="A107" s="152">
        <v>114</v>
      </c>
      <c r="B107" s="152" t="s">
        <v>42</v>
      </c>
      <c r="C107" s="152" t="s">
        <v>47</v>
      </c>
      <c r="D107" s="152" t="s">
        <v>52</v>
      </c>
      <c r="E107" s="152">
        <v>289</v>
      </c>
      <c r="F107" s="152">
        <v>14.4</v>
      </c>
      <c r="G107" s="152">
        <v>0.39950000000000002</v>
      </c>
      <c r="H107" s="152">
        <v>39</v>
      </c>
      <c r="I107" s="152">
        <v>375.3</v>
      </c>
      <c r="J107" s="152">
        <v>1.89</v>
      </c>
      <c r="K107" s="152">
        <v>1.23</v>
      </c>
      <c r="L107" s="152">
        <v>31.17</v>
      </c>
      <c r="M107" s="152">
        <v>31.27</v>
      </c>
      <c r="N107" s="164">
        <v>2147.3050896147702</v>
      </c>
      <c r="O107" s="165">
        <v>2014.75419691141</v>
      </c>
      <c r="P107" s="152">
        <v>219.86199999999999</v>
      </c>
      <c r="Q107" s="152">
        <v>24.628</v>
      </c>
      <c r="R107" s="152">
        <v>0.33006666699999998</v>
      </c>
    </row>
    <row r="108" spans="1:19" x14ac:dyDescent="0.2">
      <c r="A108" s="152">
        <v>227</v>
      </c>
      <c r="B108" s="152" t="s">
        <v>42</v>
      </c>
      <c r="C108" s="152" t="s">
        <v>47</v>
      </c>
      <c r="D108" s="152" t="s">
        <v>52</v>
      </c>
      <c r="E108" s="152">
        <v>289</v>
      </c>
      <c r="F108" s="152">
        <v>14.74</v>
      </c>
      <c r="G108" s="152">
        <v>0.43840000000000001</v>
      </c>
      <c r="H108" s="152">
        <v>39</v>
      </c>
      <c r="I108" s="152">
        <v>282.89999999999998</v>
      </c>
      <c r="J108" s="152">
        <v>1.96</v>
      </c>
      <c r="K108" s="152">
        <v>1.46</v>
      </c>
      <c r="L108" s="152">
        <v>33.119999999999997</v>
      </c>
      <c r="M108" s="152">
        <v>34.17</v>
      </c>
      <c r="N108" s="164">
        <v>606.09158005297604</v>
      </c>
      <c r="O108" s="165">
        <v>305.654143249058</v>
      </c>
      <c r="P108" s="152">
        <v>207.34100000000001</v>
      </c>
      <c r="Q108" s="152">
        <v>8.2479999999999993</v>
      </c>
      <c r="R108" s="152">
        <v>0.33006666699999998</v>
      </c>
    </row>
    <row r="109" spans="1:19" x14ac:dyDescent="0.2">
      <c r="A109" s="152">
        <v>249</v>
      </c>
      <c r="B109" s="152" t="s">
        <v>42</v>
      </c>
      <c r="C109" s="152" t="s">
        <v>47</v>
      </c>
      <c r="D109" s="152" t="s">
        <v>52</v>
      </c>
      <c r="E109" s="152">
        <v>289</v>
      </c>
      <c r="F109" s="152">
        <v>14.26</v>
      </c>
      <c r="G109" s="152">
        <v>0.35510000000000003</v>
      </c>
      <c r="H109" s="152">
        <v>39</v>
      </c>
      <c r="I109" s="152">
        <v>213.4</v>
      </c>
      <c r="J109" s="152">
        <v>1.82</v>
      </c>
      <c r="K109" s="152">
        <v>0.88</v>
      </c>
      <c r="L109" s="166">
        <v>32.541212896425698</v>
      </c>
      <c r="M109" s="166">
        <v>32.508363096600398</v>
      </c>
      <c r="N109" s="164">
        <v>880.48340276907902</v>
      </c>
      <c r="O109" s="167"/>
      <c r="P109" s="152">
        <v>213.22399999999999</v>
      </c>
      <c r="Q109" s="152">
        <v>23.33</v>
      </c>
      <c r="R109" s="152">
        <v>0.33006666699999998</v>
      </c>
    </row>
    <row r="110" spans="1:19" x14ac:dyDescent="0.2">
      <c r="A110" s="152">
        <v>256</v>
      </c>
      <c r="B110" s="152" t="s">
        <v>42</v>
      </c>
      <c r="C110" s="152" t="s">
        <v>47</v>
      </c>
      <c r="D110" s="152" t="s">
        <v>52</v>
      </c>
      <c r="E110" s="152">
        <v>289</v>
      </c>
      <c r="F110" s="152">
        <v>15.53</v>
      </c>
      <c r="G110" s="152">
        <v>0.48809999999999998</v>
      </c>
      <c r="H110" s="152">
        <v>40</v>
      </c>
      <c r="I110" s="152">
        <v>284.3</v>
      </c>
      <c r="J110" s="152">
        <v>1.97</v>
      </c>
      <c r="K110" s="152">
        <v>1.5</v>
      </c>
      <c r="L110" s="152">
        <v>33.58</v>
      </c>
      <c r="M110" s="152">
        <v>33.4</v>
      </c>
      <c r="N110" s="164">
        <v>448.81723909273597</v>
      </c>
      <c r="O110" s="165">
        <v>504.13343673849101</v>
      </c>
      <c r="P110" s="152">
        <v>182.226</v>
      </c>
      <c r="Q110" s="152">
        <v>40.47</v>
      </c>
      <c r="R110" s="152">
        <v>0.33006666699999998</v>
      </c>
    </row>
    <row r="111" spans="1:19" x14ac:dyDescent="0.2">
      <c r="A111" s="152">
        <v>270</v>
      </c>
      <c r="B111" s="152" t="s">
        <v>42</v>
      </c>
      <c r="C111" s="152" t="s">
        <v>47</v>
      </c>
      <c r="D111" s="152" t="s">
        <v>52</v>
      </c>
      <c r="E111" s="152">
        <v>289</v>
      </c>
      <c r="F111" s="152">
        <v>14.2</v>
      </c>
      <c r="G111" s="152">
        <v>0.31540000000000001</v>
      </c>
      <c r="H111" s="152">
        <v>37</v>
      </c>
      <c r="I111" s="152">
        <v>217.9</v>
      </c>
      <c r="J111" s="152">
        <v>1.89</v>
      </c>
      <c r="K111" s="152">
        <v>1.1100000000000001</v>
      </c>
      <c r="L111" s="152">
        <v>34.42</v>
      </c>
      <c r="M111" s="152">
        <v>36.01</v>
      </c>
      <c r="N111" s="164">
        <v>258.55098958037701</v>
      </c>
      <c r="O111" s="165">
        <v>2014.75419691141</v>
      </c>
      <c r="P111" s="152">
        <v>165.57499999999999</v>
      </c>
      <c r="Q111" s="152">
        <v>27.099</v>
      </c>
      <c r="R111" s="152">
        <v>0.33006666699999998</v>
      </c>
    </row>
    <row r="112" spans="1:19" x14ac:dyDescent="0.2">
      <c r="A112" s="152">
        <v>20</v>
      </c>
      <c r="B112" s="152" t="s">
        <v>42</v>
      </c>
      <c r="C112" s="152" t="s">
        <v>48</v>
      </c>
      <c r="D112" s="152" t="s">
        <v>52</v>
      </c>
      <c r="E112" s="152">
        <v>289</v>
      </c>
      <c r="F112" s="152">
        <v>16.68</v>
      </c>
      <c r="G112" s="152">
        <v>0.44259999999999999</v>
      </c>
      <c r="H112" s="152">
        <v>40</v>
      </c>
      <c r="I112" s="152">
        <v>865</v>
      </c>
      <c r="J112" s="152">
        <v>1.68</v>
      </c>
      <c r="K112" s="152">
        <v>0.73</v>
      </c>
      <c r="L112" s="152">
        <v>34.61</v>
      </c>
      <c r="M112" s="152">
        <v>34.31</v>
      </c>
      <c r="N112" s="164">
        <v>229.48278862430499</v>
      </c>
      <c r="O112" s="165">
        <v>279.20067939107201</v>
      </c>
      <c r="P112" s="152">
        <v>184.94200000000001</v>
      </c>
      <c r="Q112" s="152">
        <v>25.422999999999998</v>
      </c>
      <c r="R112" s="152">
        <v>0.246933333</v>
      </c>
    </row>
    <row r="113" spans="1:18" x14ac:dyDescent="0.2">
      <c r="A113" s="152">
        <v>43</v>
      </c>
      <c r="B113" s="152" t="s">
        <v>42</v>
      </c>
      <c r="C113" s="152" t="s">
        <v>48</v>
      </c>
      <c r="D113" s="152" t="s">
        <v>52</v>
      </c>
      <c r="E113" s="152">
        <v>289</v>
      </c>
      <c r="F113" s="152">
        <v>15.15</v>
      </c>
      <c r="G113" s="152">
        <v>0.42249999999999999</v>
      </c>
      <c r="H113" s="152">
        <v>39</v>
      </c>
      <c r="I113" s="152">
        <v>342.9</v>
      </c>
      <c r="J113" s="152">
        <v>1.94</v>
      </c>
      <c r="K113" s="152">
        <v>1.42</v>
      </c>
      <c r="L113" s="152">
        <v>32.01</v>
      </c>
      <c r="M113" s="152">
        <v>31.98</v>
      </c>
      <c r="N113" s="164">
        <v>1199.5545035365501</v>
      </c>
      <c r="O113" s="165">
        <v>899.51024782830905</v>
      </c>
      <c r="P113" s="152">
        <v>248.994</v>
      </c>
      <c r="Q113" s="152">
        <v>44.106000000000002</v>
      </c>
      <c r="R113" s="152">
        <v>0.246933333</v>
      </c>
    </row>
    <row r="114" spans="1:18" x14ac:dyDescent="0.2">
      <c r="A114" s="152">
        <v>112</v>
      </c>
      <c r="B114" s="152" t="s">
        <v>42</v>
      </c>
      <c r="C114" s="152" t="s">
        <v>48</v>
      </c>
      <c r="D114" s="152" t="s">
        <v>52</v>
      </c>
      <c r="E114" s="152">
        <v>289</v>
      </c>
      <c r="F114" s="152">
        <v>14.38</v>
      </c>
      <c r="G114" s="152">
        <v>0.41260000000000002</v>
      </c>
      <c r="H114" s="152">
        <v>40</v>
      </c>
      <c r="I114" s="152">
        <v>253.2</v>
      </c>
      <c r="J114" s="152">
        <v>1.83</v>
      </c>
      <c r="K114" s="152">
        <v>0.93</v>
      </c>
      <c r="L114" s="152">
        <v>33.29</v>
      </c>
      <c r="M114" s="152">
        <v>32.01</v>
      </c>
      <c r="N114" s="164">
        <v>539.13307678237402</v>
      </c>
      <c r="O114" s="165">
        <v>472.03645980188099</v>
      </c>
      <c r="P114" s="152">
        <v>213.214</v>
      </c>
      <c r="Q114" s="152">
        <v>40.722000000000001</v>
      </c>
      <c r="R114" s="152">
        <v>0.246933333</v>
      </c>
    </row>
    <row r="115" spans="1:18" x14ac:dyDescent="0.2">
      <c r="A115" s="152">
        <v>132</v>
      </c>
      <c r="B115" s="152" t="s">
        <v>42</v>
      </c>
      <c r="C115" s="152" t="s">
        <v>48</v>
      </c>
      <c r="D115" s="152" t="s">
        <v>52</v>
      </c>
      <c r="E115" s="152">
        <v>289</v>
      </c>
      <c r="F115" s="152">
        <v>15.76</v>
      </c>
      <c r="G115" s="152">
        <v>0.4768</v>
      </c>
      <c r="H115" s="152">
        <v>40</v>
      </c>
      <c r="I115" s="152">
        <v>283.39999999999998</v>
      </c>
      <c r="J115" s="152">
        <v>1.92</v>
      </c>
      <c r="K115" s="152">
        <v>1.24</v>
      </c>
      <c r="L115" s="152">
        <v>24.75</v>
      </c>
      <c r="M115" s="152">
        <v>24.87</v>
      </c>
      <c r="N115" s="164">
        <v>139826.63271026799</v>
      </c>
      <c r="O115" s="165">
        <v>129905.655337813</v>
      </c>
      <c r="P115" s="152">
        <v>277.70249999999999</v>
      </c>
      <c r="Q115" s="152">
        <v>60.572000000000003</v>
      </c>
      <c r="R115" s="152">
        <v>0.246933333</v>
      </c>
    </row>
    <row r="116" spans="1:18" x14ac:dyDescent="0.2">
      <c r="A116" s="152">
        <v>170</v>
      </c>
      <c r="B116" s="152" t="s">
        <v>42</v>
      </c>
      <c r="C116" s="152" t="s">
        <v>48</v>
      </c>
      <c r="D116" s="152" t="s">
        <v>52</v>
      </c>
      <c r="E116" s="152">
        <v>289</v>
      </c>
      <c r="F116" s="152">
        <v>13.26</v>
      </c>
      <c r="G116" s="152">
        <v>0.35859999999999997</v>
      </c>
      <c r="H116" s="152">
        <v>40</v>
      </c>
      <c r="I116" s="152">
        <v>221.4</v>
      </c>
      <c r="J116" s="152">
        <v>1.86</v>
      </c>
      <c r="K116" s="152">
        <v>1</v>
      </c>
      <c r="L116" s="152">
        <v>24.05</v>
      </c>
      <c r="M116" s="152">
        <v>24.27</v>
      </c>
      <c r="N116" s="164">
        <v>221481.39070713101</v>
      </c>
      <c r="O116" s="165">
        <v>191392.26522887</v>
      </c>
      <c r="P116" s="152">
        <v>255.386</v>
      </c>
      <c r="Q116" s="152">
        <v>33.863999999999997</v>
      </c>
      <c r="R116" s="152">
        <v>0.246933333</v>
      </c>
    </row>
    <row r="117" spans="1:18" x14ac:dyDescent="0.2">
      <c r="A117" s="152">
        <v>38</v>
      </c>
      <c r="B117" s="152" t="s">
        <v>42</v>
      </c>
      <c r="C117" s="152" t="s">
        <v>49</v>
      </c>
      <c r="D117" s="152" t="s">
        <v>52</v>
      </c>
      <c r="E117" s="152">
        <v>289</v>
      </c>
      <c r="F117" s="152">
        <v>15.49</v>
      </c>
      <c r="G117" s="152">
        <v>0.39019999999999999</v>
      </c>
      <c r="H117" s="152"/>
      <c r="I117" s="152">
        <v>190.7</v>
      </c>
      <c r="J117" s="152">
        <v>1.86</v>
      </c>
      <c r="K117" s="152">
        <v>1</v>
      </c>
      <c r="L117" s="152">
        <v>34.81</v>
      </c>
      <c r="M117" s="152">
        <v>33.26</v>
      </c>
      <c r="N117" s="164">
        <v>201.27703021136799</v>
      </c>
      <c r="O117" s="165">
        <v>551.82040761666804</v>
      </c>
      <c r="P117" s="152">
        <v>129.21199999999999</v>
      </c>
      <c r="Q117" s="152">
        <v>20.317</v>
      </c>
      <c r="R117" s="152">
        <v>0.33536666700000001</v>
      </c>
    </row>
    <row r="118" spans="1:18" x14ac:dyDescent="0.2">
      <c r="A118" s="152">
        <v>119</v>
      </c>
      <c r="B118" s="152" t="s">
        <v>42</v>
      </c>
      <c r="C118" s="152" t="s">
        <v>49</v>
      </c>
      <c r="D118" s="152" t="s">
        <v>52</v>
      </c>
      <c r="E118" s="152">
        <v>289</v>
      </c>
      <c r="F118" s="152">
        <v>12.18</v>
      </c>
      <c r="G118" s="152">
        <v>0.25019999999999998</v>
      </c>
      <c r="H118" s="152">
        <v>34</v>
      </c>
      <c r="I118" s="152">
        <v>118.3</v>
      </c>
      <c r="J118" s="152">
        <v>1.89</v>
      </c>
      <c r="K118" s="152">
        <v>0.97</v>
      </c>
      <c r="L118" s="152">
        <v>34.840000000000003</v>
      </c>
      <c r="M118" s="152">
        <v>36.92</v>
      </c>
      <c r="N118" s="164">
        <v>50.907995865173497</v>
      </c>
      <c r="O118" s="165">
        <v>194.91775800092501</v>
      </c>
      <c r="P118" s="152">
        <v>182.28800000000001</v>
      </c>
      <c r="Q118" s="152">
        <v>24.603000000000002</v>
      </c>
      <c r="R118" s="152">
        <v>0.33536666700000001</v>
      </c>
    </row>
    <row r="119" spans="1:18" x14ac:dyDescent="0.2">
      <c r="A119" s="152">
        <v>127</v>
      </c>
      <c r="B119" s="152" t="s">
        <v>42</v>
      </c>
      <c r="C119" s="152" t="s">
        <v>49</v>
      </c>
      <c r="D119" s="152" t="s">
        <v>52</v>
      </c>
      <c r="E119" s="152">
        <v>289</v>
      </c>
      <c r="F119" s="152">
        <v>13.45</v>
      </c>
      <c r="G119" s="152">
        <v>0.35320000000000001</v>
      </c>
      <c r="H119" s="152">
        <v>38</v>
      </c>
      <c r="I119" s="152">
        <v>281.3</v>
      </c>
      <c r="J119" s="152">
        <v>1.86</v>
      </c>
      <c r="K119" s="152">
        <v>0.94</v>
      </c>
      <c r="L119" s="152">
        <v>37.35</v>
      </c>
      <c r="M119" s="152">
        <v>36.17</v>
      </c>
      <c r="N119" s="164">
        <v>38.499371656306799</v>
      </c>
      <c r="O119" s="165">
        <v>82.796624354514606</v>
      </c>
      <c r="P119" s="152">
        <v>210.702</v>
      </c>
      <c r="Q119" s="152">
        <v>25.678000000000001</v>
      </c>
      <c r="R119" s="152">
        <v>0.33536666700000001</v>
      </c>
    </row>
    <row r="120" spans="1:18" x14ac:dyDescent="0.2">
      <c r="A120" s="152">
        <v>164</v>
      </c>
      <c r="B120" s="152" t="s">
        <v>42</v>
      </c>
      <c r="C120" s="152" t="s">
        <v>49</v>
      </c>
      <c r="D120" s="152" t="s">
        <v>52</v>
      </c>
      <c r="E120" s="152">
        <v>289</v>
      </c>
      <c r="F120" s="152">
        <v>15.71</v>
      </c>
      <c r="G120" s="152">
        <v>0.43049999999999999</v>
      </c>
      <c r="H120" s="152">
        <v>38</v>
      </c>
      <c r="I120" s="152">
        <v>289.60000000000002</v>
      </c>
      <c r="J120" s="152">
        <v>1.86</v>
      </c>
      <c r="K120" s="152">
        <v>1.05</v>
      </c>
      <c r="L120" s="152">
        <v>35.03</v>
      </c>
      <c r="M120" s="152">
        <v>36.17</v>
      </c>
      <c r="N120" s="164">
        <v>292.26721287575202</v>
      </c>
      <c r="O120" s="165">
        <v>174.45154122284299</v>
      </c>
      <c r="P120" s="152">
        <v>161.06899999999999</v>
      </c>
      <c r="Q120" s="152">
        <v>58.628999999999998</v>
      </c>
      <c r="R120" s="152">
        <v>0.33536666700000001</v>
      </c>
    </row>
    <row r="121" spans="1:18" x14ac:dyDescent="0.2">
      <c r="A121" s="152">
        <v>260</v>
      </c>
      <c r="B121" s="152" t="s">
        <v>42</v>
      </c>
      <c r="C121" s="152" t="s">
        <v>49</v>
      </c>
      <c r="D121" s="152" t="s">
        <v>52</v>
      </c>
      <c r="E121" s="152">
        <v>289</v>
      </c>
      <c r="F121" s="152">
        <v>13.26</v>
      </c>
      <c r="G121" s="152">
        <v>0.27810000000000001</v>
      </c>
      <c r="H121" s="152">
        <v>41</v>
      </c>
      <c r="I121" s="152">
        <v>233.3</v>
      </c>
      <c r="J121" s="152">
        <v>1.81</v>
      </c>
      <c r="K121" s="152">
        <v>0.86</v>
      </c>
      <c r="L121" s="152">
        <v>36.76</v>
      </c>
      <c r="M121" s="152">
        <v>35.520000000000003</v>
      </c>
      <c r="N121" s="164">
        <v>56.464975106971998</v>
      </c>
      <c r="O121" s="165">
        <v>126.368222448073</v>
      </c>
      <c r="P121" s="152">
        <v>276.72699999999998</v>
      </c>
      <c r="Q121" s="152">
        <v>75.177000000000007</v>
      </c>
      <c r="R121" s="152">
        <v>0.33536666700000001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A7C2-563C-0C49-AC69-8ACF35E47AD0}">
  <dimension ref="A1:V139"/>
  <sheetViews>
    <sheetView workbookViewId="0">
      <pane ySplit="1" topLeftCell="A2" activePane="bottomLeft" state="frozen"/>
      <selection pane="bottomLeft" activeCell="J59" sqref="J59"/>
    </sheetView>
  </sheetViews>
  <sheetFormatPr baseColWidth="10" defaultRowHeight="16" x14ac:dyDescent="0.2"/>
  <cols>
    <col min="1" max="1" width="4.1640625" style="2" bestFit="1" customWidth="1"/>
    <col min="2" max="2" width="17.33203125" style="2" bestFit="1" customWidth="1"/>
    <col min="3" max="3" width="12.5" style="2" bestFit="1" customWidth="1"/>
    <col min="4" max="4" width="10.33203125" style="2" bestFit="1" customWidth="1"/>
    <col min="5" max="5" width="8.5" style="2" bestFit="1" customWidth="1"/>
    <col min="6" max="6" width="5.83203125" style="2" bestFit="1" customWidth="1"/>
    <col min="7" max="7" width="28.5" style="2" bestFit="1" customWidth="1"/>
    <col min="8" max="8" width="18.6640625" style="3" customWidth="1"/>
    <col min="9" max="10" width="10.83203125" style="3"/>
    <col min="11" max="11" width="6.33203125" style="6" customWidth="1"/>
    <col min="12" max="12" width="6" style="6" customWidth="1"/>
    <col min="13" max="14" width="15.6640625" style="5" bestFit="1" customWidth="1"/>
    <col min="15" max="15" width="13.6640625" style="132" bestFit="1" customWidth="1"/>
    <col min="16" max="16" width="15.6640625" style="5" bestFit="1" customWidth="1"/>
    <col min="17" max="17" width="20.6640625" style="132" bestFit="1" customWidth="1"/>
    <col min="18" max="18" width="15" style="6" bestFit="1" customWidth="1"/>
    <col min="19" max="20" width="10.83203125" style="2"/>
    <col min="21" max="21" width="12.5" style="2" bestFit="1" customWidth="1"/>
    <col min="22" max="22" width="11.6640625" style="2" bestFit="1" customWidth="1"/>
    <col min="23" max="16384" width="10.83203125" style="2"/>
  </cols>
  <sheetData>
    <row r="1" spans="1:20" s="58" customFormat="1" ht="42" customHeight="1" x14ac:dyDescent="0.2">
      <c r="A1" s="57" t="s">
        <v>0</v>
      </c>
      <c r="B1" s="57" t="s">
        <v>72</v>
      </c>
      <c r="C1" s="57" t="s">
        <v>73</v>
      </c>
      <c r="D1" s="57" t="s">
        <v>53</v>
      </c>
      <c r="E1" s="57" t="s">
        <v>54</v>
      </c>
      <c r="F1" s="57" t="s">
        <v>1</v>
      </c>
      <c r="G1" s="57" t="s">
        <v>74</v>
      </c>
      <c r="H1" s="58" t="s">
        <v>75</v>
      </c>
      <c r="I1" s="58" t="s">
        <v>76</v>
      </c>
      <c r="J1" s="58" t="s">
        <v>77</v>
      </c>
      <c r="K1" s="59" t="s">
        <v>78</v>
      </c>
      <c r="L1" s="59" t="s">
        <v>79</v>
      </c>
      <c r="M1" s="60" t="s">
        <v>60</v>
      </c>
      <c r="N1" s="60" t="s">
        <v>61</v>
      </c>
      <c r="O1" s="61" t="s">
        <v>80</v>
      </c>
      <c r="P1" s="4" t="s">
        <v>81</v>
      </c>
      <c r="Q1" s="62" t="s">
        <v>62</v>
      </c>
      <c r="R1" s="59" t="s">
        <v>2</v>
      </c>
    </row>
    <row r="2" spans="1:20" s="1" customFormat="1" ht="15.75" customHeight="1" x14ac:dyDescent="0.2">
      <c r="A2" s="49">
        <v>1</v>
      </c>
      <c r="B2" s="49" t="s">
        <v>82</v>
      </c>
      <c r="C2" s="63"/>
      <c r="D2" s="49">
        <v>13.07</v>
      </c>
      <c r="E2" s="49">
        <v>0.39650000000000002</v>
      </c>
      <c r="F2" s="49">
        <v>31</v>
      </c>
      <c r="G2" s="49" t="s">
        <v>64</v>
      </c>
      <c r="H2" s="50">
        <v>223.15600000000001</v>
      </c>
      <c r="I2" s="50">
        <v>1.907</v>
      </c>
      <c r="J2" s="50">
        <v>1.331</v>
      </c>
      <c r="K2" s="51">
        <v>29.951152226990601</v>
      </c>
      <c r="L2" s="51">
        <v>30.077221157477599</v>
      </c>
      <c r="M2" s="52">
        <v>2421.34252641694</v>
      </c>
      <c r="N2" s="52">
        <v>2225.4220500000001</v>
      </c>
      <c r="O2" s="64">
        <f>AVERAGE(M2:N2)</f>
        <v>2323.3822882084701</v>
      </c>
      <c r="P2" s="65">
        <f>O2*200</f>
        <v>464676.457641694</v>
      </c>
      <c r="Q2" s="64">
        <f t="shared" ref="Q2:Q16" si="0">P2/H2</f>
        <v>2082.294258911676</v>
      </c>
      <c r="R2" s="66">
        <f t="shared" ref="R2:R16" si="1">LOG(Q2)</f>
        <v>3.318542101731436</v>
      </c>
      <c r="T2" s="67"/>
    </row>
    <row r="3" spans="1:20" s="1" customFormat="1" ht="15.75" customHeight="1" x14ac:dyDescent="0.2">
      <c r="A3" s="49">
        <v>2</v>
      </c>
      <c r="B3" s="68" t="s">
        <v>82</v>
      </c>
      <c r="C3" s="63" t="s">
        <v>3</v>
      </c>
      <c r="D3" s="49">
        <v>15.89</v>
      </c>
      <c r="E3" s="49">
        <v>0.86109999999999998</v>
      </c>
      <c r="F3" s="49">
        <v>33</v>
      </c>
      <c r="G3" s="49"/>
      <c r="H3" s="50">
        <v>97.866</v>
      </c>
      <c r="I3" s="50">
        <v>1.927</v>
      </c>
      <c r="J3" s="50">
        <v>1.032</v>
      </c>
      <c r="K3" s="51">
        <v>14.413551385783199</v>
      </c>
      <c r="L3" s="51">
        <v>14.3682532932604</v>
      </c>
      <c r="M3" s="52">
        <v>79486794.241714507</v>
      </c>
      <c r="N3" s="52">
        <v>81933509.542280003</v>
      </c>
      <c r="O3" s="64">
        <f>AVERAGE(M3:N3)</f>
        <v>80710151.891997248</v>
      </c>
      <c r="P3" s="65">
        <f>O3*200</f>
        <v>16142030378.39945</v>
      </c>
      <c r="Q3" s="64">
        <f t="shared" si="0"/>
        <v>164940126.07442269</v>
      </c>
      <c r="R3" s="66">
        <f t="shared" si="1"/>
        <v>8.2173263221866435</v>
      </c>
      <c r="T3" s="67"/>
    </row>
    <row r="4" spans="1:20" s="1" customFormat="1" ht="15.75" customHeight="1" x14ac:dyDescent="0.2">
      <c r="A4" s="49">
        <v>6</v>
      </c>
      <c r="B4" s="68" t="s">
        <v>82</v>
      </c>
      <c r="C4" s="63" t="s">
        <v>4</v>
      </c>
      <c r="D4" s="49">
        <v>11.86</v>
      </c>
      <c r="E4" s="49">
        <v>0.32029999999999997</v>
      </c>
      <c r="F4" s="49">
        <v>29</v>
      </c>
      <c r="G4" s="49"/>
      <c r="H4" s="50">
        <v>93.566000000000003</v>
      </c>
      <c r="I4" s="50">
        <v>1.9450000000000001</v>
      </c>
      <c r="J4" s="50">
        <v>1.248</v>
      </c>
      <c r="K4" s="51">
        <v>14.862019561241601</v>
      </c>
      <c r="L4" s="51">
        <v>14.8729247114789</v>
      </c>
      <c r="M4" s="52">
        <v>58876355.8989584</v>
      </c>
      <c r="N4" s="52">
        <v>58448204.579389997</v>
      </c>
      <c r="O4" s="64">
        <f t="shared" ref="O4:O67" si="2">AVERAGE(M4:N4)</f>
        <v>58662280.239174202</v>
      </c>
      <c r="P4" s="65">
        <f t="shared" ref="P4:P16" si="3">O4*200</f>
        <v>11732456047.834841</v>
      </c>
      <c r="Q4" s="64">
        <f t="shared" si="0"/>
        <v>125392301.13326252</v>
      </c>
      <c r="R4" s="66">
        <f t="shared" si="1"/>
        <v>8.0982708723959433</v>
      </c>
      <c r="T4" s="67"/>
    </row>
    <row r="5" spans="1:20" s="1" customFormat="1" ht="15.75" customHeight="1" x14ac:dyDescent="0.2">
      <c r="A5" s="49">
        <v>59</v>
      </c>
      <c r="B5" s="68" t="s">
        <v>82</v>
      </c>
      <c r="C5" s="63" t="s">
        <v>5</v>
      </c>
      <c r="D5" s="49">
        <v>15.21</v>
      </c>
      <c r="E5" s="49">
        <v>0.69120000000000004</v>
      </c>
      <c r="F5" s="49">
        <v>33</v>
      </c>
      <c r="G5" s="49"/>
      <c r="H5" s="50">
        <v>61.917000000000002</v>
      </c>
      <c r="I5" s="50">
        <v>1.7989999999999999</v>
      </c>
      <c r="J5" s="50">
        <v>0.63200000000000001</v>
      </c>
      <c r="K5" s="51">
        <v>18.86</v>
      </c>
      <c r="L5" s="51">
        <v>18.341376864904898</v>
      </c>
      <c r="M5" s="52">
        <v>10112440.497008501</v>
      </c>
      <c r="N5" s="52">
        <v>14186426.5941641</v>
      </c>
      <c r="O5" s="64">
        <f t="shared" si="2"/>
        <v>12149433.545586299</v>
      </c>
      <c r="P5" s="65">
        <f t="shared" si="3"/>
        <v>2429886709.11726</v>
      </c>
      <c r="Q5" s="64">
        <f t="shared" si="0"/>
        <v>39244257.782471046</v>
      </c>
      <c r="R5" s="66">
        <f t="shared" si="1"/>
        <v>7.5937761197863631</v>
      </c>
      <c r="T5" s="67"/>
    </row>
    <row r="6" spans="1:20" s="1" customFormat="1" ht="15.75" customHeight="1" x14ac:dyDescent="0.2">
      <c r="A6" s="49">
        <v>64</v>
      </c>
      <c r="B6" s="68" t="s">
        <v>82</v>
      </c>
      <c r="C6" s="63" t="s">
        <v>6</v>
      </c>
      <c r="D6" s="49">
        <v>13.44</v>
      </c>
      <c r="E6" s="49">
        <v>0.5121</v>
      </c>
      <c r="F6" s="49">
        <v>29</v>
      </c>
      <c r="G6" s="49" t="s">
        <v>63</v>
      </c>
      <c r="H6" s="50">
        <v>26.802</v>
      </c>
      <c r="I6" s="50">
        <v>1.909</v>
      </c>
      <c r="J6" s="50">
        <v>0.53200000000000003</v>
      </c>
      <c r="K6" s="51">
        <v>18.205654107243301</v>
      </c>
      <c r="L6" s="51">
        <v>17.527369347130801</v>
      </c>
      <c r="M6" s="52">
        <v>6281494.0880947402</v>
      </c>
      <c r="N6" s="52">
        <v>9890464.3672423791</v>
      </c>
      <c r="O6" s="64">
        <f t="shared" si="2"/>
        <v>8085979.2276685592</v>
      </c>
      <c r="P6" s="65">
        <f t="shared" si="3"/>
        <v>1617195845.5337119</v>
      </c>
      <c r="Q6" s="64">
        <f t="shared" si="0"/>
        <v>60338625.682177149</v>
      </c>
      <c r="R6" s="66">
        <f t="shared" si="1"/>
        <v>7.7805954141345604</v>
      </c>
      <c r="T6" s="67"/>
    </row>
    <row r="7" spans="1:20" s="1" customFormat="1" ht="15.75" customHeight="1" x14ac:dyDescent="0.2">
      <c r="A7" s="49">
        <v>82</v>
      </c>
      <c r="B7" s="68" t="s">
        <v>82</v>
      </c>
      <c r="C7" s="63" t="s">
        <v>7</v>
      </c>
      <c r="D7" s="49">
        <v>14.02</v>
      </c>
      <c r="E7" s="49">
        <v>0.47149999999999997</v>
      </c>
      <c r="F7" s="49">
        <v>33</v>
      </c>
      <c r="G7" s="49"/>
      <c r="H7" s="50">
        <v>429.56900000000002</v>
      </c>
      <c r="I7" s="50">
        <v>1.9470000000000001</v>
      </c>
      <c r="J7" s="50">
        <v>1.44</v>
      </c>
      <c r="K7" s="51">
        <v>25.1023513158088</v>
      </c>
      <c r="L7" s="51">
        <v>25.176439261718301</v>
      </c>
      <c r="M7" s="52">
        <v>62148.917966858899</v>
      </c>
      <c r="N7" s="52">
        <v>59142.3789265042</v>
      </c>
      <c r="O7" s="64">
        <f t="shared" si="2"/>
        <v>60645.648446681545</v>
      </c>
      <c r="P7" s="65">
        <f t="shared" si="3"/>
        <v>12129129.689336309</v>
      </c>
      <c r="Q7" s="64">
        <f t="shared" si="0"/>
        <v>28235.57959102335</v>
      </c>
      <c r="R7" s="66">
        <f t="shared" si="1"/>
        <v>4.4507967069161678</v>
      </c>
      <c r="T7" s="67"/>
    </row>
    <row r="8" spans="1:20" s="1" customFormat="1" ht="15.75" customHeight="1" x14ac:dyDescent="0.2">
      <c r="A8" s="49">
        <v>104</v>
      </c>
      <c r="B8" s="68" t="s">
        <v>82</v>
      </c>
      <c r="C8" s="63" t="s">
        <v>6</v>
      </c>
      <c r="D8" s="49">
        <v>11.98</v>
      </c>
      <c r="E8" s="49">
        <v>0.30840000000000001</v>
      </c>
      <c r="F8" s="49">
        <v>27</v>
      </c>
      <c r="G8" s="49" t="s">
        <v>83</v>
      </c>
      <c r="H8" s="50">
        <v>88.543999999999997</v>
      </c>
      <c r="I8" s="50">
        <v>1.8919999999999999</v>
      </c>
      <c r="J8" s="50">
        <v>0.96399999999999997</v>
      </c>
      <c r="K8" s="51">
        <v>14.022582366352101</v>
      </c>
      <c r="L8" s="51">
        <v>14.1945798755717</v>
      </c>
      <c r="M8" s="52">
        <v>103260932.44144</v>
      </c>
      <c r="N8" s="52">
        <v>92032742.574606702</v>
      </c>
      <c r="O8" s="64">
        <f t="shared" si="2"/>
        <v>97646837.508023351</v>
      </c>
      <c r="P8" s="65">
        <f t="shared" si="3"/>
        <v>19529367501.604671</v>
      </c>
      <c r="Q8" s="64">
        <f t="shared" si="0"/>
        <v>220561161.7004503</v>
      </c>
      <c r="R8" s="66">
        <f t="shared" si="1"/>
        <v>8.3435290405422524</v>
      </c>
      <c r="T8" s="67"/>
    </row>
    <row r="9" spans="1:20" s="1" customFormat="1" ht="15.75" customHeight="1" x14ac:dyDescent="0.2">
      <c r="A9" s="49">
        <v>115</v>
      </c>
      <c r="B9" s="68" t="s">
        <v>82</v>
      </c>
      <c r="C9" s="63" t="s">
        <v>8</v>
      </c>
      <c r="D9" s="49">
        <v>10.119999999999999</v>
      </c>
      <c r="E9" s="49">
        <v>0.2011</v>
      </c>
      <c r="F9" s="49">
        <v>26</v>
      </c>
      <c r="G9" s="49"/>
      <c r="H9" s="50">
        <v>138.58000000000001</v>
      </c>
      <c r="I9" s="50">
        <v>1.9079999999999999</v>
      </c>
      <c r="J9" s="50">
        <v>1.4359999999999999</v>
      </c>
      <c r="K9" s="51">
        <v>14.587354753963799</v>
      </c>
      <c r="L9" s="51">
        <v>14.802609811849299</v>
      </c>
      <c r="M9" s="52">
        <v>70758139.234633401</v>
      </c>
      <c r="N9" s="52">
        <v>61264552.3229651</v>
      </c>
      <c r="O9" s="64">
        <f t="shared" si="2"/>
        <v>66011345.778799251</v>
      </c>
      <c r="P9" s="65">
        <f t="shared" si="3"/>
        <v>13202269155.75985</v>
      </c>
      <c r="Q9" s="64">
        <f t="shared" si="0"/>
        <v>95268214.430364043</v>
      </c>
      <c r="R9" s="66">
        <f t="shared" si="1"/>
        <v>7.9789480255061713</v>
      </c>
      <c r="T9" s="67"/>
    </row>
    <row r="10" spans="1:20" s="1" customFormat="1" ht="15.75" customHeight="1" x14ac:dyDescent="0.2">
      <c r="A10" s="49">
        <v>123</v>
      </c>
      <c r="B10" s="68" t="s">
        <v>82</v>
      </c>
      <c r="C10" s="63"/>
      <c r="D10" s="49">
        <v>11.13</v>
      </c>
      <c r="E10" s="49">
        <v>0.2122</v>
      </c>
      <c r="F10" s="49">
        <v>28</v>
      </c>
      <c r="G10" s="49" t="s">
        <v>64</v>
      </c>
      <c r="H10" s="50">
        <v>185.286</v>
      </c>
      <c r="I10" s="50">
        <v>1.929</v>
      </c>
      <c r="J10" s="50">
        <v>1.522</v>
      </c>
      <c r="K10" s="51">
        <v>28.575578483987002</v>
      </c>
      <c r="L10" s="51">
        <v>28.693688410038799</v>
      </c>
      <c r="M10" s="52">
        <v>6079.7755860194302</v>
      </c>
      <c r="N10" s="52">
        <v>5617.6814920676197</v>
      </c>
      <c r="O10" s="64">
        <f t="shared" si="2"/>
        <v>5848.7285390435245</v>
      </c>
      <c r="P10" s="65">
        <f t="shared" si="3"/>
        <v>1169745.7078087048</v>
      </c>
      <c r="Q10" s="64">
        <f t="shared" si="0"/>
        <v>6313.1899215737012</v>
      </c>
      <c r="R10" s="66">
        <f t="shared" si="1"/>
        <v>3.800248854534193</v>
      </c>
      <c r="T10" s="67"/>
    </row>
    <row r="11" spans="1:20" s="1" customFormat="1" ht="15.75" customHeight="1" x14ac:dyDescent="0.2">
      <c r="A11" s="49">
        <v>195</v>
      </c>
      <c r="B11" s="68" t="s">
        <v>82</v>
      </c>
      <c r="C11" s="63"/>
      <c r="D11" s="49">
        <v>10.94</v>
      </c>
      <c r="E11" s="49">
        <v>0.23089999999999999</v>
      </c>
      <c r="F11" s="49">
        <v>28</v>
      </c>
      <c r="G11" s="49" t="s">
        <v>64</v>
      </c>
      <c r="H11" s="50">
        <v>228.40600000000001</v>
      </c>
      <c r="I11" s="50">
        <v>1.95</v>
      </c>
      <c r="J11" s="50">
        <v>1.5880000000000001</v>
      </c>
      <c r="K11" s="51">
        <v>29.818086826541101</v>
      </c>
      <c r="L11" s="51">
        <v>29.407092871076301</v>
      </c>
      <c r="M11" s="52">
        <v>2646.8766421963401</v>
      </c>
      <c r="N11" s="52">
        <v>3484.9400581774598</v>
      </c>
      <c r="O11" s="64">
        <f t="shared" si="2"/>
        <v>3065.9083501869</v>
      </c>
      <c r="P11" s="65">
        <f t="shared" si="3"/>
        <v>613181.67003737995</v>
      </c>
      <c r="Q11" s="64">
        <f t="shared" si="0"/>
        <v>2684.6127949238635</v>
      </c>
      <c r="R11" s="66">
        <f t="shared" si="1"/>
        <v>3.428881655713643</v>
      </c>
      <c r="T11" s="67"/>
    </row>
    <row r="12" spans="1:20" s="1" customFormat="1" ht="15.75" customHeight="1" x14ac:dyDescent="0.2">
      <c r="A12" s="49">
        <v>199</v>
      </c>
      <c r="B12" s="68" t="s">
        <v>82</v>
      </c>
      <c r="C12" s="63"/>
      <c r="D12" s="49">
        <v>12.76</v>
      </c>
      <c r="E12" s="49">
        <v>0.47620000000000001</v>
      </c>
      <c r="F12" s="49">
        <v>34</v>
      </c>
      <c r="G12" s="49" t="s">
        <v>64</v>
      </c>
      <c r="H12" s="50">
        <v>363.47500000000002</v>
      </c>
      <c r="I12" s="50">
        <v>1.9970000000000001</v>
      </c>
      <c r="J12" s="50">
        <v>1.81</v>
      </c>
      <c r="K12" s="51">
        <v>29.008639305357299</v>
      </c>
      <c r="L12" s="51">
        <v>28.83</v>
      </c>
      <c r="M12" s="52">
        <v>4550.0049548246998</v>
      </c>
      <c r="N12" s="52">
        <v>5118.9826239235299</v>
      </c>
      <c r="O12" s="64">
        <f t="shared" si="2"/>
        <v>4834.4937893741153</v>
      </c>
      <c r="P12" s="65">
        <f t="shared" si="3"/>
        <v>966898.75787482306</v>
      </c>
      <c r="Q12" s="64">
        <f t="shared" si="0"/>
        <v>2660.1520266175748</v>
      </c>
      <c r="R12" s="66">
        <f t="shared" si="1"/>
        <v>3.4249064570951449</v>
      </c>
      <c r="T12" s="67"/>
    </row>
    <row r="13" spans="1:20" s="1" customFormat="1" ht="15.75" customHeight="1" x14ac:dyDescent="0.2">
      <c r="A13" s="49">
        <v>202</v>
      </c>
      <c r="B13" s="68" t="s">
        <v>82</v>
      </c>
      <c r="C13" s="63"/>
      <c r="D13" s="49">
        <v>15.66</v>
      </c>
      <c r="E13" s="49">
        <v>0.56410000000000005</v>
      </c>
      <c r="F13" s="49">
        <v>35</v>
      </c>
      <c r="G13" s="49" t="s">
        <v>69</v>
      </c>
      <c r="H13" s="50">
        <v>320.87599999999998</v>
      </c>
      <c r="I13" s="50">
        <v>1.98</v>
      </c>
      <c r="J13" s="50">
        <v>1.7430000000000001</v>
      </c>
      <c r="K13" s="51">
        <v>29.498758617978002</v>
      </c>
      <c r="L13" s="51">
        <v>29.360849862808799</v>
      </c>
      <c r="M13" s="52">
        <v>3277.56472148475</v>
      </c>
      <c r="N13" s="52">
        <v>3594.4838981672601</v>
      </c>
      <c r="O13" s="64">
        <f t="shared" si="2"/>
        <v>3436.0243098260053</v>
      </c>
      <c r="P13" s="65">
        <f t="shared" si="3"/>
        <v>687204.8619652011</v>
      </c>
      <c r="Q13" s="64">
        <f t="shared" si="0"/>
        <v>2141.6524201411171</v>
      </c>
      <c r="R13" s="66">
        <f t="shared" si="1"/>
        <v>3.3307489883149484</v>
      </c>
      <c r="S13" s="67"/>
    </row>
    <row r="14" spans="1:20" s="1" customFormat="1" ht="15.75" customHeight="1" x14ac:dyDescent="0.2">
      <c r="A14" s="49">
        <v>218</v>
      </c>
      <c r="B14" s="68" t="s">
        <v>82</v>
      </c>
      <c r="C14" s="63"/>
      <c r="D14" s="49">
        <v>13.37</v>
      </c>
      <c r="E14" s="49">
        <v>0.45650000000000002</v>
      </c>
      <c r="F14" s="49">
        <v>28</v>
      </c>
      <c r="G14" s="49" t="s">
        <v>71</v>
      </c>
      <c r="H14" s="50">
        <v>135.95400000000001</v>
      </c>
      <c r="I14" s="50">
        <v>1.919</v>
      </c>
      <c r="J14" s="50">
        <v>0.93500000000000005</v>
      </c>
      <c r="K14" s="51">
        <v>14.339550770866699</v>
      </c>
      <c r="L14" s="51">
        <v>14.422760659424</v>
      </c>
      <c r="M14" s="52">
        <v>83522672.131099194</v>
      </c>
      <c r="N14" s="52">
        <v>78998376.691449806</v>
      </c>
      <c r="O14" s="64">
        <f t="shared" si="2"/>
        <v>81260524.411274493</v>
      </c>
      <c r="P14" s="65">
        <f t="shared" si="3"/>
        <v>16252104882.254898</v>
      </c>
      <c r="Q14" s="64">
        <f t="shared" si="0"/>
        <v>119541204.24742852</v>
      </c>
      <c r="R14" s="66">
        <f t="shared" si="1"/>
        <v>8.0775176265635711</v>
      </c>
      <c r="S14" s="67"/>
    </row>
    <row r="15" spans="1:20" s="1" customFormat="1" ht="15.75" customHeight="1" x14ac:dyDescent="0.2">
      <c r="A15" s="49">
        <v>243</v>
      </c>
      <c r="B15" s="68" t="s">
        <v>82</v>
      </c>
      <c r="C15" s="63"/>
      <c r="D15" s="49">
        <v>13.61</v>
      </c>
      <c r="E15" s="49">
        <v>0.41439999999999999</v>
      </c>
      <c r="F15" s="49">
        <v>34</v>
      </c>
      <c r="G15" s="49" t="s">
        <v>64</v>
      </c>
      <c r="H15" s="50">
        <v>386.74299999999999</v>
      </c>
      <c r="I15" s="50">
        <v>1.9079999999999999</v>
      </c>
      <c r="J15" s="50">
        <v>1.3919999999999999</v>
      </c>
      <c r="K15" s="51">
        <v>27.215205596530399</v>
      </c>
      <c r="L15" s="51">
        <v>27.806351735957598</v>
      </c>
      <c r="M15" s="52">
        <v>15111.254149694299</v>
      </c>
      <c r="N15" s="52">
        <v>10173.6066228781</v>
      </c>
      <c r="O15" s="64">
        <f t="shared" si="2"/>
        <v>12642.4303862862</v>
      </c>
      <c r="P15" s="65">
        <f>O15*200</f>
        <v>2528486.0772572402</v>
      </c>
      <c r="Q15" s="64">
        <f t="shared" si="0"/>
        <v>6537.8974597012493</v>
      </c>
      <c r="R15" s="66">
        <f t="shared" si="1"/>
        <v>3.8154381048287576</v>
      </c>
      <c r="S15" s="67"/>
    </row>
    <row r="16" spans="1:20" s="1" customFormat="1" ht="15.75" customHeight="1" x14ac:dyDescent="0.2">
      <c r="A16" s="49">
        <v>245</v>
      </c>
      <c r="B16" s="68" t="s">
        <v>82</v>
      </c>
      <c r="C16" s="63" t="s">
        <v>9</v>
      </c>
      <c r="D16" s="49">
        <v>13.86</v>
      </c>
      <c r="E16" s="49">
        <v>0.60509999999999997</v>
      </c>
      <c r="F16" s="49">
        <v>33</v>
      </c>
      <c r="G16" s="49"/>
      <c r="H16" s="50">
        <v>193.452</v>
      </c>
      <c r="I16" s="50">
        <v>2.0339999999999998</v>
      </c>
      <c r="J16" s="50">
        <v>1.6659999999999999</v>
      </c>
      <c r="K16" s="51">
        <v>14.043257796015199</v>
      </c>
      <c r="L16" s="51">
        <v>14.3135282366501</v>
      </c>
      <c r="M16" s="52">
        <v>101841881.9153</v>
      </c>
      <c r="N16" s="52">
        <v>84990077.150909007</v>
      </c>
      <c r="O16" s="64">
        <f t="shared" si="2"/>
        <v>93415979.533104509</v>
      </c>
      <c r="P16" s="65">
        <f t="shared" si="3"/>
        <v>18683195906.620903</v>
      </c>
      <c r="Q16" s="64">
        <f t="shared" si="0"/>
        <v>96577941.332324833</v>
      </c>
      <c r="R16" s="66">
        <f t="shared" si="1"/>
        <v>7.9848779436866062</v>
      </c>
      <c r="S16" s="67"/>
    </row>
    <row r="17" spans="1:21" s="1" customFormat="1" ht="15.75" customHeight="1" x14ac:dyDescent="0.2">
      <c r="A17" s="53">
        <v>272</v>
      </c>
      <c r="B17" s="69" t="s">
        <v>82</v>
      </c>
      <c r="C17" s="70"/>
      <c r="D17" s="137" t="s">
        <v>67</v>
      </c>
      <c r="E17" s="138"/>
      <c r="F17" s="139"/>
      <c r="G17" s="53" t="s">
        <v>64</v>
      </c>
      <c r="H17" s="54"/>
      <c r="I17" s="54"/>
      <c r="J17" s="54"/>
      <c r="K17" s="55"/>
      <c r="L17" s="55"/>
      <c r="M17" s="56"/>
      <c r="N17" s="56"/>
      <c r="O17" s="71" t="e">
        <f t="shared" si="2"/>
        <v>#DIV/0!</v>
      </c>
      <c r="P17" s="56"/>
      <c r="Q17" s="72"/>
      <c r="R17" s="31"/>
      <c r="S17" s="67"/>
    </row>
    <row r="18" spans="1:21" s="1" customFormat="1" x14ac:dyDescent="0.2">
      <c r="A18" s="45">
        <v>31</v>
      </c>
      <c r="B18" s="45" t="s">
        <v>84</v>
      </c>
      <c r="C18" s="73" t="s">
        <v>10</v>
      </c>
      <c r="D18" s="45">
        <v>6.42</v>
      </c>
      <c r="E18" s="45">
        <v>7.5499999999999998E-2</v>
      </c>
      <c r="F18" s="45">
        <v>33</v>
      </c>
      <c r="G18" s="45"/>
      <c r="H18" s="46">
        <v>96.793000000000006</v>
      </c>
      <c r="I18" s="46">
        <v>1.98</v>
      </c>
      <c r="J18" s="46">
        <v>1.21</v>
      </c>
      <c r="K18" s="47">
        <v>28.591009684417202</v>
      </c>
      <c r="L18" s="47">
        <v>29.079637681476399</v>
      </c>
      <c r="M18" s="48">
        <v>17704.187334540198</v>
      </c>
      <c r="N18" s="48">
        <v>12871.941570971299</v>
      </c>
      <c r="O18" s="74">
        <f t="shared" si="2"/>
        <v>15288.064452755749</v>
      </c>
      <c r="P18" s="75">
        <f>O18*200</f>
        <v>3057612.8905511498</v>
      </c>
      <c r="Q18" s="76">
        <f t="shared" ref="Q18:Q36" si="4">P18/H18</f>
        <v>31589.194368922854</v>
      </c>
      <c r="R18" s="77">
        <f>LOG(Q18)</f>
        <v>4.4995385500712528</v>
      </c>
      <c r="S18" s="67"/>
    </row>
    <row r="19" spans="1:21" s="1" customFormat="1" x14ac:dyDescent="0.2">
      <c r="A19" s="45">
        <v>50</v>
      </c>
      <c r="B19" s="78" t="s">
        <v>84</v>
      </c>
      <c r="C19" s="73"/>
      <c r="D19" s="45">
        <v>6.33</v>
      </c>
      <c r="E19" s="45">
        <v>7.9299999999999995E-2</v>
      </c>
      <c r="F19" s="45">
        <v>36</v>
      </c>
      <c r="G19" s="45" t="s">
        <v>64</v>
      </c>
      <c r="H19" s="46">
        <v>133.28399999999999</v>
      </c>
      <c r="I19" s="46">
        <v>1.9590000000000001</v>
      </c>
      <c r="J19" s="46">
        <v>1.29</v>
      </c>
      <c r="K19" s="47">
        <v>25.408910937001501</v>
      </c>
      <c r="L19" s="47">
        <v>26.0111011449914</v>
      </c>
      <c r="M19" s="48">
        <v>50620.610666380897</v>
      </c>
      <c r="N19" s="48">
        <v>33829.196722034401</v>
      </c>
      <c r="O19" s="74">
        <f t="shared" si="2"/>
        <v>42224.903694207649</v>
      </c>
      <c r="P19" s="75">
        <f>O19*200</f>
        <v>8444980.7388415299</v>
      </c>
      <c r="Q19" s="76">
        <f t="shared" si="4"/>
        <v>63360.799036955155</v>
      </c>
      <c r="R19" s="77">
        <f t="shared" ref="R19:R79" si="5">LOG(Q19)</f>
        <v>4.8018206454619978</v>
      </c>
      <c r="S19" s="67"/>
    </row>
    <row r="20" spans="1:21" s="1" customFormat="1" x14ac:dyDescent="0.2">
      <c r="A20" s="45">
        <v>60</v>
      </c>
      <c r="B20" s="78" t="s">
        <v>84</v>
      </c>
      <c r="C20" s="73"/>
      <c r="D20" s="45">
        <v>7.61</v>
      </c>
      <c r="E20" s="45">
        <v>0.11509999999999999</v>
      </c>
      <c r="F20" s="45">
        <v>37</v>
      </c>
      <c r="G20" s="45" t="s">
        <v>64</v>
      </c>
      <c r="H20" s="46">
        <v>138.72900000000001</v>
      </c>
      <c r="I20" s="46">
        <v>1.913</v>
      </c>
      <c r="J20" s="46">
        <v>1.05</v>
      </c>
      <c r="K20" s="47">
        <v>28.271759752863598</v>
      </c>
      <c r="L20" s="47">
        <v>28.104001965677799</v>
      </c>
      <c r="M20" s="48">
        <v>7450.6997035771901</v>
      </c>
      <c r="N20" s="48">
        <v>8336.0132947314305</v>
      </c>
      <c r="O20" s="74">
        <f t="shared" si="2"/>
        <v>7893.3564991543099</v>
      </c>
      <c r="P20" s="75">
        <f t="shared" ref="P20:P33" si="6">O20*200</f>
        <v>1578671.2998308619</v>
      </c>
      <c r="Q20" s="76">
        <f t="shared" si="4"/>
        <v>11379.533477721758</v>
      </c>
      <c r="R20" s="77">
        <f t="shared" si="5"/>
        <v>4.0561244578231834</v>
      </c>
      <c r="S20" s="67"/>
    </row>
    <row r="21" spans="1:21" s="1" customFormat="1" x14ac:dyDescent="0.2">
      <c r="A21" s="45">
        <v>61</v>
      </c>
      <c r="B21" s="78" t="s">
        <v>84</v>
      </c>
      <c r="C21" s="73"/>
      <c r="D21" s="45">
        <v>7.54</v>
      </c>
      <c r="E21" s="45">
        <v>0.1084</v>
      </c>
      <c r="F21" s="45">
        <v>37</v>
      </c>
      <c r="G21" s="45" t="s">
        <v>64</v>
      </c>
      <c r="H21" s="46">
        <v>149.19499999999999</v>
      </c>
      <c r="I21" s="46">
        <v>1.9390000000000001</v>
      </c>
      <c r="J21" s="46">
        <v>1.208</v>
      </c>
      <c r="K21" s="47">
        <v>28.868765298904201</v>
      </c>
      <c r="L21" s="47">
        <v>29.275416188904401</v>
      </c>
      <c r="M21" s="48">
        <v>4996.5284627609499</v>
      </c>
      <c r="N21" s="48">
        <v>3806.00305308211</v>
      </c>
      <c r="O21" s="74">
        <f t="shared" si="2"/>
        <v>4401.2657579215302</v>
      </c>
      <c r="P21" s="75">
        <f t="shared" si="6"/>
        <v>880253.15158430603</v>
      </c>
      <c r="Q21" s="76">
        <f t="shared" si="4"/>
        <v>5900.0177726083721</v>
      </c>
      <c r="R21" s="77">
        <f t="shared" si="5"/>
        <v>3.7708533198682663</v>
      </c>
      <c r="S21" s="67"/>
    </row>
    <row r="22" spans="1:21" s="1" customFormat="1" x14ac:dyDescent="0.2">
      <c r="A22" s="45">
        <v>65</v>
      </c>
      <c r="B22" s="78" t="s">
        <v>84</v>
      </c>
      <c r="C22" s="73"/>
      <c r="D22" s="45">
        <v>7.46</v>
      </c>
      <c r="E22" s="45">
        <v>9.9000000000000005E-2</v>
      </c>
      <c r="F22" s="45">
        <v>36</v>
      </c>
      <c r="G22" s="45" t="s">
        <v>64</v>
      </c>
      <c r="H22" s="46">
        <v>116.872</v>
      </c>
      <c r="I22" s="46">
        <v>1.9390000000000001</v>
      </c>
      <c r="J22" s="46">
        <v>1.173</v>
      </c>
      <c r="K22" s="47">
        <v>27.493721635639702</v>
      </c>
      <c r="L22" s="47">
        <v>27.544233507721199</v>
      </c>
      <c r="M22" s="48">
        <v>12541.3881546869</v>
      </c>
      <c r="N22" s="48">
        <v>12124.492511327901</v>
      </c>
      <c r="O22" s="74">
        <f t="shared" si="2"/>
        <v>12332.9403330074</v>
      </c>
      <c r="P22" s="75">
        <f t="shared" si="6"/>
        <v>2466588.0666014799</v>
      </c>
      <c r="Q22" s="76">
        <f t="shared" si="4"/>
        <v>21105.038560146826</v>
      </c>
      <c r="R22" s="77">
        <f t="shared" si="5"/>
        <v>4.3243861499727148</v>
      </c>
      <c r="S22" s="67"/>
    </row>
    <row r="23" spans="1:21" s="1" customFormat="1" x14ac:dyDescent="0.2">
      <c r="A23" s="45">
        <v>89</v>
      </c>
      <c r="B23" s="78" t="s">
        <v>84</v>
      </c>
      <c r="C23" s="73"/>
      <c r="D23" s="45">
        <v>6.52</v>
      </c>
      <c r="E23" s="45">
        <v>6.6699999999999995E-2</v>
      </c>
      <c r="F23" s="45">
        <v>34</v>
      </c>
      <c r="G23" s="45" t="s">
        <v>64</v>
      </c>
      <c r="H23" s="46">
        <v>90.647000000000006</v>
      </c>
      <c r="I23" s="46">
        <v>1.9339999999999999</v>
      </c>
      <c r="J23" s="46">
        <v>1.038</v>
      </c>
      <c r="K23" s="47">
        <v>26.673552938194899</v>
      </c>
      <c r="L23" s="47">
        <v>26.377574087960301</v>
      </c>
      <c r="M23" s="48">
        <v>21714.0108069739</v>
      </c>
      <c r="N23" s="48">
        <v>26471.026347937001</v>
      </c>
      <c r="O23" s="74">
        <f t="shared" si="2"/>
        <v>24092.518577455448</v>
      </c>
      <c r="P23" s="75">
        <f t="shared" si="6"/>
        <v>4818503.71549109</v>
      </c>
      <c r="Q23" s="76">
        <f t="shared" si="4"/>
        <v>53156.791901453878</v>
      </c>
      <c r="R23" s="77">
        <f t="shared" si="5"/>
        <v>4.7255587626857078</v>
      </c>
      <c r="S23" s="67"/>
    </row>
    <row r="24" spans="1:21" s="1" customFormat="1" x14ac:dyDescent="0.2">
      <c r="A24" s="45">
        <v>96</v>
      </c>
      <c r="B24" s="78" t="s">
        <v>84</v>
      </c>
      <c r="C24" s="73"/>
      <c r="D24" s="45">
        <v>7.53</v>
      </c>
      <c r="E24" s="45">
        <v>9.0700000000000003E-2</v>
      </c>
      <c r="F24" s="45">
        <v>35</v>
      </c>
      <c r="G24" s="45" t="s">
        <v>64</v>
      </c>
      <c r="H24" s="46">
        <v>68.078000000000003</v>
      </c>
      <c r="I24" s="46">
        <v>1.9570000000000001</v>
      </c>
      <c r="J24" s="46">
        <v>1.02</v>
      </c>
      <c r="K24" s="47">
        <v>29.395993809489902</v>
      </c>
      <c r="L24" s="47">
        <v>29.3588549480626</v>
      </c>
      <c r="M24" s="48">
        <v>10471.7200097403</v>
      </c>
      <c r="N24" s="48">
        <v>10728.5180599082</v>
      </c>
      <c r="O24" s="74">
        <f t="shared" si="2"/>
        <v>10600.119034824249</v>
      </c>
      <c r="P24" s="75">
        <f t="shared" si="6"/>
        <v>2120023.8069648496</v>
      </c>
      <c r="Q24" s="76">
        <f t="shared" si="4"/>
        <v>31141.100017110512</v>
      </c>
      <c r="R24" s="77">
        <f t="shared" si="5"/>
        <v>4.493333949366443</v>
      </c>
      <c r="S24" s="67"/>
    </row>
    <row r="25" spans="1:21" s="1" customFormat="1" x14ac:dyDescent="0.2">
      <c r="A25" s="45">
        <v>103</v>
      </c>
      <c r="B25" s="78" t="s">
        <v>84</v>
      </c>
      <c r="C25" s="73" t="s">
        <v>11</v>
      </c>
      <c r="D25" s="45">
        <v>5.58</v>
      </c>
      <c r="E25" s="45">
        <v>6.3200000000000006E-2</v>
      </c>
      <c r="F25" s="45">
        <v>31</v>
      </c>
      <c r="G25" s="45"/>
      <c r="H25" s="46">
        <v>56.966999999999999</v>
      </c>
      <c r="I25" s="46">
        <v>1.9550000000000001</v>
      </c>
      <c r="J25" s="46">
        <v>0.89700000000000002</v>
      </c>
      <c r="K25" s="47">
        <v>29.2363991759477</v>
      </c>
      <c r="L25" s="47">
        <v>29.458315474773599</v>
      </c>
      <c r="M25" s="48">
        <v>3906.6995943325301</v>
      </c>
      <c r="N25" s="48">
        <v>3367.49289290556</v>
      </c>
      <c r="O25" s="74">
        <f t="shared" si="2"/>
        <v>3637.0962436190448</v>
      </c>
      <c r="P25" s="75">
        <f t="shared" si="6"/>
        <v>727419.24872380891</v>
      </c>
      <c r="Q25" s="76">
        <f t="shared" si="4"/>
        <v>12769.133862127353</v>
      </c>
      <c r="R25" s="77">
        <f t="shared" si="5"/>
        <v>4.1061614398118955</v>
      </c>
      <c r="S25" s="67"/>
    </row>
    <row r="26" spans="1:21" s="1" customFormat="1" x14ac:dyDescent="0.2">
      <c r="A26" s="45">
        <v>120</v>
      </c>
      <c r="B26" s="78" t="s">
        <v>84</v>
      </c>
      <c r="C26" s="73" t="s">
        <v>12</v>
      </c>
      <c r="D26" s="45">
        <v>7.51</v>
      </c>
      <c r="E26" s="45">
        <v>9.9900000000000003E-2</v>
      </c>
      <c r="F26" s="45">
        <v>31</v>
      </c>
      <c r="G26" s="45" t="s">
        <v>85</v>
      </c>
      <c r="H26" s="46">
        <v>41.375</v>
      </c>
      <c r="I26" s="46">
        <v>2.0409999999999999</v>
      </c>
      <c r="J26" s="46">
        <v>0.89900000000000002</v>
      </c>
      <c r="K26" s="47">
        <v>19.3960778632987</v>
      </c>
      <c r="L26" s="47">
        <v>19.863132882329101</v>
      </c>
      <c r="M26" s="48">
        <v>2831706.7809557901</v>
      </c>
      <c r="N26" s="48">
        <v>2071532.1288096199</v>
      </c>
      <c r="O26" s="74">
        <f t="shared" si="2"/>
        <v>2451619.4548827051</v>
      </c>
      <c r="P26" s="75">
        <f t="shared" si="6"/>
        <v>490323890.97654104</v>
      </c>
      <c r="Q26" s="76">
        <f t="shared" si="4"/>
        <v>11850728.482816702</v>
      </c>
      <c r="R26" s="77">
        <f t="shared" si="5"/>
        <v>7.0737450479278268</v>
      </c>
      <c r="S26" s="67"/>
    </row>
    <row r="27" spans="1:21" s="1" customFormat="1" x14ac:dyDescent="0.2">
      <c r="A27" s="45">
        <v>150</v>
      </c>
      <c r="B27" s="78" t="s">
        <v>84</v>
      </c>
      <c r="C27" s="73"/>
      <c r="D27" s="45">
        <v>7.77</v>
      </c>
      <c r="E27" s="45">
        <v>0.13439999999999999</v>
      </c>
      <c r="F27" s="45">
        <v>35</v>
      </c>
      <c r="G27" s="45"/>
      <c r="H27" s="46">
        <v>89.882999999999996</v>
      </c>
      <c r="I27" s="46">
        <v>2.0230000000000001</v>
      </c>
      <c r="J27" s="46">
        <v>1.385</v>
      </c>
      <c r="K27" s="47">
        <v>14.1621006958551</v>
      </c>
      <c r="L27" s="47">
        <v>14.600570143654201</v>
      </c>
      <c r="M27" s="48">
        <v>94055225.5334308</v>
      </c>
      <c r="N27" s="48">
        <v>70135056.398561999</v>
      </c>
      <c r="O27" s="74">
        <f t="shared" si="2"/>
        <v>82095140.9659964</v>
      </c>
      <c r="P27" s="75">
        <f t="shared" si="6"/>
        <v>16419028193.19928</v>
      </c>
      <c r="Q27" s="76">
        <f t="shared" si="4"/>
        <v>182671119.04586273</v>
      </c>
      <c r="R27" s="77">
        <f t="shared" si="5"/>
        <v>8.2616698892764813</v>
      </c>
      <c r="S27" s="67"/>
    </row>
    <row r="28" spans="1:21" s="1" customFormat="1" x14ac:dyDescent="0.2">
      <c r="A28" s="45">
        <v>211</v>
      </c>
      <c r="B28" s="78" t="s">
        <v>84</v>
      </c>
      <c r="C28" s="73"/>
      <c r="D28" s="45">
        <v>6.39</v>
      </c>
      <c r="E28" s="45">
        <v>7.1099999999999997E-2</v>
      </c>
      <c r="F28" s="45">
        <v>35</v>
      </c>
      <c r="G28" s="45"/>
      <c r="H28" s="46">
        <v>82.042000000000002</v>
      </c>
      <c r="I28" s="46">
        <v>1.99</v>
      </c>
      <c r="J28" s="46">
        <v>1.157</v>
      </c>
      <c r="K28" s="47">
        <v>26.776936958423001</v>
      </c>
      <c r="L28" s="47">
        <v>28.102592651260501</v>
      </c>
      <c r="M28" s="48">
        <v>20262.355003053101</v>
      </c>
      <c r="N28" s="48">
        <v>8343.8797621845206</v>
      </c>
      <c r="O28" s="74">
        <f t="shared" si="2"/>
        <v>14303.11738261881</v>
      </c>
      <c r="P28" s="75">
        <f t="shared" si="6"/>
        <v>2860623.4765237621</v>
      </c>
      <c r="Q28" s="76">
        <f t="shared" si="4"/>
        <v>34867.793039220909</v>
      </c>
      <c r="R28" s="77">
        <f t="shared" si="5"/>
        <v>4.5424244595290952</v>
      </c>
      <c r="S28" s="67"/>
      <c r="T28" s="79"/>
      <c r="U28" s="79"/>
    </row>
    <row r="29" spans="1:21" s="1" customFormat="1" x14ac:dyDescent="0.2">
      <c r="A29" s="45">
        <v>238</v>
      </c>
      <c r="B29" s="78" t="s">
        <v>84</v>
      </c>
      <c r="C29" s="73"/>
      <c r="D29" s="45">
        <v>7.33</v>
      </c>
      <c r="E29" s="45">
        <v>8.1799999999999998E-2</v>
      </c>
      <c r="F29" s="45">
        <v>35</v>
      </c>
      <c r="G29" s="45"/>
      <c r="H29" s="46">
        <v>95.912000000000006</v>
      </c>
      <c r="I29" s="46">
        <v>1.9430000000000001</v>
      </c>
      <c r="J29" s="46">
        <v>1.016</v>
      </c>
      <c r="K29" s="47">
        <v>29.8495071992789</v>
      </c>
      <c r="L29" s="47">
        <v>29.623024788455499</v>
      </c>
      <c r="M29" s="48">
        <v>2591.7964744205701</v>
      </c>
      <c r="N29" s="48">
        <v>3016.0006716620501</v>
      </c>
      <c r="O29" s="74">
        <f t="shared" si="2"/>
        <v>2803.8985730413101</v>
      </c>
      <c r="P29" s="75">
        <f t="shared" si="6"/>
        <v>560779.71460826206</v>
      </c>
      <c r="Q29" s="76">
        <f t="shared" si="4"/>
        <v>5846.8149408651889</v>
      </c>
      <c r="R29" s="77">
        <f t="shared" si="5"/>
        <v>3.766919348081688</v>
      </c>
      <c r="S29" s="67"/>
    </row>
    <row r="30" spans="1:21" s="1" customFormat="1" x14ac:dyDescent="0.2">
      <c r="A30" s="45">
        <v>242</v>
      </c>
      <c r="B30" s="78" t="s">
        <v>84</v>
      </c>
      <c r="C30" s="73"/>
      <c r="D30" s="45">
        <v>7.91</v>
      </c>
      <c r="E30" s="45">
        <v>9.2700000000000005E-2</v>
      </c>
      <c r="F30" s="45">
        <v>33</v>
      </c>
      <c r="G30" s="45"/>
      <c r="H30" s="46">
        <v>118.44799999999999</v>
      </c>
      <c r="I30" s="46">
        <v>1.946</v>
      </c>
      <c r="J30" s="46">
        <v>1.125</v>
      </c>
      <c r="K30" s="47">
        <v>27.1906243991398</v>
      </c>
      <c r="L30" s="47">
        <v>28.061131362816699</v>
      </c>
      <c r="M30" s="48">
        <v>15361.916733301499</v>
      </c>
      <c r="N30" s="48">
        <v>8578.6586612821102</v>
      </c>
      <c r="O30" s="74">
        <f t="shared" si="2"/>
        <v>11970.287697291806</v>
      </c>
      <c r="P30" s="75">
        <f t="shared" si="6"/>
        <v>2394057.539458361</v>
      </c>
      <c r="Q30" s="76">
        <f t="shared" si="4"/>
        <v>20211.886561684125</v>
      </c>
      <c r="R30" s="77">
        <f t="shared" si="5"/>
        <v>4.3056068521145372</v>
      </c>
      <c r="S30" s="67"/>
    </row>
    <row r="31" spans="1:21" s="1" customFormat="1" x14ac:dyDescent="0.2">
      <c r="A31" s="45">
        <v>244</v>
      </c>
      <c r="B31" s="78" t="s">
        <v>84</v>
      </c>
      <c r="C31" s="73"/>
      <c r="D31" s="45">
        <v>7.35</v>
      </c>
      <c r="E31" s="45">
        <v>0.1108</v>
      </c>
      <c r="F31" s="45">
        <v>35</v>
      </c>
      <c r="G31" s="45"/>
      <c r="H31" s="46">
        <v>99.436000000000007</v>
      </c>
      <c r="I31" s="46">
        <v>1.954</v>
      </c>
      <c r="J31" s="46">
        <v>1.111</v>
      </c>
      <c r="K31" s="47">
        <v>26.927217771607399</v>
      </c>
      <c r="L31" s="47">
        <v>27.4548199833987</v>
      </c>
      <c r="M31" s="48">
        <v>18323.504033805199</v>
      </c>
      <c r="N31" s="48">
        <v>12872.2054612922</v>
      </c>
      <c r="O31" s="74">
        <f t="shared" si="2"/>
        <v>15597.854747548699</v>
      </c>
      <c r="P31" s="75">
        <f t="shared" si="6"/>
        <v>3119570.9495097399</v>
      </c>
      <c r="Q31" s="76">
        <f t="shared" si="4"/>
        <v>31372.651248136888</v>
      </c>
      <c r="R31" s="77">
        <f t="shared" si="5"/>
        <v>4.4965512217191757</v>
      </c>
      <c r="S31" s="67"/>
    </row>
    <row r="32" spans="1:21" s="1" customFormat="1" x14ac:dyDescent="0.2">
      <c r="A32" s="45">
        <v>255</v>
      </c>
      <c r="B32" s="78" t="s">
        <v>84</v>
      </c>
      <c r="C32" s="73" t="s">
        <v>13</v>
      </c>
      <c r="D32" s="45">
        <v>5.83</v>
      </c>
      <c r="E32" s="45">
        <v>4.4600000000000001E-2</v>
      </c>
      <c r="F32" s="45">
        <v>28</v>
      </c>
      <c r="G32" s="45" t="s">
        <v>63</v>
      </c>
      <c r="H32" s="46">
        <v>9.1419999999999995</v>
      </c>
      <c r="I32" s="46">
        <v>1.917</v>
      </c>
      <c r="J32" s="46">
        <v>0.247</v>
      </c>
      <c r="K32" s="47">
        <v>25.7943637799399</v>
      </c>
      <c r="L32" s="47">
        <v>25.631751072761201</v>
      </c>
      <c r="M32" s="48">
        <v>39110.167838861496</v>
      </c>
      <c r="N32" s="48">
        <v>43606.931054998902</v>
      </c>
      <c r="O32" s="74">
        <f t="shared" si="2"/>
        <v>41358.549446930199</v>
      </c>
      <c r="P32" s="75">
        <f t="shared" si="6"/>
        <v>8271709.8893860402</v>
      </c>
      <c r="Q32" s="76">
        <f t="shared" si="4"/>
        <v>904803.09444170212</v>
      </c>
      <c r="R32" s="77">
        <f t="shared" si="5"/>
        <v>5.9565540772143235</v>
      </c>
      <c r="T32" s="67"/>
    </row>
    <row r="33" spans="1:21" s="1" customFormat="1" x14ac:dyDescent="0.2">
      <c r="A33" s="45">
        <v>264</v>
      </c>
      <c r="B33" s="78" t="s">
        <v>84</v>
      </c>
      <c r="C33" s="73" t="s">
        <v>14</v>
      </c>
      <c r="D33" s="45">
        <v>3.93</v>
      </c>
      <c r="E33" s="45">
        <v>2.0199999999999999E-2</v>
      </c>
      <c r="F33" s="45">
        <v>27</v>
      </c>
      <c r="G33" s="45" t="s">
        <v>70</v>
      </c>
      <c r="H33" s="46">
        <v>20.603000000000002</v>
      </c>
      <c r="I33" s="46">
        <v>2.1110000000000002</v>
      </c>
      <c r="J33" s="46">
        <v>0.58599999999999997</v>
      </c>
      <c r="K33" s="47">
        <v>18.302164378697899</v>
      </c>
      <c r="L33" s="47">
        <v>18.640134632020299</v>
      </c>
      <c r="M33" s="48">
        <v>5888582.7833831897</v>
      </c>
      <c r="N33" s="48">
        <v>4696503.1461412003</v>
      </c>
      <c r="O33" s="74">
        <f t="shared" si="2"/>
        <v>5292542.964762195</v>
      </c>
      <c r="P33" s="75">
        <f t="shared" si="6"/>
        <v>1058508592.952439</v>
      </c>
      <c r="Q33" s="76">
        <f t="shared" si="4"/>
        <v>51376430.274835646</v>
      </c>
      <c r="R33" s="77">
        <f t="shared" si="5"/>
        <v>7.7107639254305465</v>
      </c>
      <c r="T33" s="67"/>
    </row>
    <row r="34" spans="1:21" s="1" customFormat="1" x14ac:dyDescent="0.2">
      <c r="A34" s="37">
        <v>4</v>
      </c>
      <c r="B34" s="37" t="s">
        <v>86</v>
      </c>
      <c r="C34" s="80"/>
      <c r="D34" s="37">
        <v>7.92</v>
      </c>
      <c r="E34" s="37">
        <v>8.0699999999999994E-2</v>
      </c>
      <c r="F34" s="37">
        <v>34</v>
      </c>
      <c r="G34" s="37" t="s">
        <v>69</v>
      </c>
      <c r="H34" s="38">
        <v>107.539</v>
      </c>
      <c r="I34" s="38">
        <v>1.9359999999999999</v>
      </c>
      <c r="J34" s="38">
        <v>0.97499999999999998</v>
      </c>
      <c r="K34" s="39">
        <v>27.937470928827199</v>
      </c>
      <c r="L34" s="39">
        <v>28.073191551338901</v>
      </c>
      <c r="M34" s="40">
        <v>9318.8680819009805</v>
      </c>
      <c r="N34" s="40">
        <v>8509.6933744587295</v>
      </c>
      <c r="O34" s="81">
        <f t="shared" si="2"/>
        <v>8914.2807281798559</v>
      </c>
      <c r="P34" s="82">
        <f>O34*200</f>
        <v>1782856.1456359711</v>
      </c>
      <c r="Q34" s="81">
        <f t="shared" si="4"/>
        <v>16578.693735630524</v>
      </c>
      <c r="R34" s="83">
        <f t="shared" si="5"/>
        <v>4.2195503087379942</v>
      </c>
      <c r="S34" s="67"/>
      <c r="T34" s="79"/>
      <c r="U34" s="79"/>
    </row>
    <row r="35" spans="1:21" s="1" customFormat="1" x14ac:dyDescent="0.2">
      <c r="A35" s="37">
        <v>9</v>
      </c>
      <c r="B35" s="84" t="s">
        <v>86</v>
      </c>
      <c r="C35" s="80"/>
      <c r="D35" s="37">
        <v>6.99</v>
      </c>
      <c r="E35" s="37">
        <v>6.6900000000000001E-2</v>
      </c>
      <c r="F35" s="37">
        <v>34</v>
      </c>
      <c r="G35" s="37"/>
      <c r="H35" s="38">
        <v>110.161</v>
      </c>
      <c r="I35" s="38">
        <v>1.984</v>
      </c>
      <c r="J35" s="38">
        <v>1.171</v>
      </c>
      <c r="K35" s="39">
        <v>12.116955769117</v>
      </c>
      <c r="L35" s="39">
        <v>12.1414944632588</v>
      </c>
      <c r="M35" s="40">
        <v>369687905.79956102</v>
      </c>
      <c r="N35" s="40">
        <v>363666000.50264102</v>
      </c>
      <c r="O35" s="81">
        <f t="shared" si="2"/>
        <v>366676953.15110099</v>
      </c>
      <c r="P35" s="82">
        <f>O35*200</f>
        <v>73335390630.2202</v>
      </c>
      <c r="Q35" s="81">
        <f t="shared" si="4"/>
        <v>665711010.52296364</v>
      </c>
      <c r="R35" s="83">
        <f t="shared" si="5"/>
        <v>8.8232857400218538</v>
      </c>
      <c r="S35" s="67"/>
    </row>
    <row r="36" spans="1:21" s="1" customFormat="1" x14ac:dyDescent="0.2">
      <c r="A36" s="37">
        <v>28</v>
      </c>
      <c r="B36" s="84" t="s">
        <v>86</v>
      </c>
      <c r="C36" s="80" t="s">
        <v>15</v>
      </c>
      <c r="D36" s="37">
        <v>5.64</v>
      </c>
      <c r="E36" s="37">
        <v>4.0300000000000002E-2</v>
      </c>
      <c r="F36" s="37">
        <v>30</v>
      </c>
      <c r="G36" s="37" t="s">
        <v>63</v>
      </c>
      <c r="H36" s="38">
        <v>40.008000000000003</v>
      </c>
      <c r="I36" s="38">
        <v>1.9530000000000001</v>
      </c>
      <c r="J36" s="38">
        <v>0.79800000000000004</v>
      </c>
      <c r="K36" s="39">
        <v>15.3100569484901</v>
      </c>
      <c r="L36" s="39">
        <v>15.0942419533588</v>
      </c>
      <c r="M36" s="40">
        <v>43622653.240270302</v>
      </c>
      <c r="N36" s="40">
        <v>50401326.922845602</v>
      </c>
      <c r="O36" s="81">
        <f t="shared" si="2"/>
        <v>47011990.081557952</v>
      </c>
      <c r="P36" s="82">
        <f>O36*200</f>
        <v>9402398016.3115902</v>
      </c>
      <c r="Q36" s="81">
        <f t="shared" si="4"/>
        <v>235012947.8182261</v>
      </c>
      <c r="R36" s="83">
        <f t="shared" si="5"/>
        <v>8.3710917899785606</v>
      </c>
      <c r="S36" s="67"/>
    </row>
    <row r="37" spans="1:21" s="1" customFormat="1" x14ac:dyDescent="0.2">
      <c r="A37" s="41">
        <v>70</v>
      </c>
      <c r="B37" s="85" t="s">
        <v>86</v>
      </c>
      <c r="C37" s="86" t="s">
        <v>16</v>
      </c>
      <c r="D37" s="41">
        <v>4.6500000000000004</v>
      </c>
      <c r="E37" s="41">
        <v>2.4500000000000001E-2</v>
      </c>
      <c r="F37" s="41">
        <v>30</v>
      </c>
      <c r="G37" s="41" t="s">
        <v>63</v>
      </c>
      <c r="H37" s="42"/>
      <c r="I37" s="42"/>
      <c r="J37" s="42"/>
      <c r="K37" s="42"/>
      <c r="L37" s="42"/>
      <c r="M37" s="43"/>
      <c r="N37" s="43"/>
      <c r="O37" s="87"/>
      <c r="P37" s="88"/>
      <c r="Q37" s="87"/>
      <c r="R37" s="89"/>
      <c r="S37" s="67"/>
    </row>
    <row r="38" spans="1:21" s="1" customFormat="1" x14ac:dyDescent="0.2">
      <c r="A38" s="37">
        <v>74</v>
      </c>
      <c r="B38" s="84" t="s">
        <v>86</v>
      </c>
      <c r="C38" s="80" t="s">
        <v>17</v>
      </c>
      <c r="D38" s="37">
        <v>7.06</v>
      </c>
      <c r="E38" s="37">
        <v>8.4000000000000005E-2</v>
      </c>
      <c r="F38" s="37">
        <v>29</v>
      </c>
      <c r="G38" s="37" t="s">
        <v>63</v>
      </c>
      <c r="H38" s="38">
        <v>46.250999999999998</v>
      </c>
      <c r="I38" s="38">
        <v>1.9570000000000001</v>
      </c>
      <c r="J38" s="38">
        <v>0.85099999999999998</v>
      </c>
      <c r="K38" s="39">
        <v>26.3488447375553</v>
      </c>
      <c r="L38" s="39">
        <v>16.065375385403399</v>
      </c>
      <c r="M38" s="40">
        <v>26984.936513430901</v>
      </c>
      <c r="N38" s="40">
        <v>26312817.045485798</v>
      </c>
      <c r="O38" s="81">
        <f t="shared" si="2"/>
        <v>13169900.990999615</v>
      </c>
      <c r="P38" s="82">
        <f>O38*200</f>
        <v>2633980198.199923</v>
      </c>
      <c r="Q38" s="81">
        <f t="shared" ref="Q38:Q44" si="7">P38/H38</f>
        <v>56949691.859633803</v>
      </c>
      <c r="R38" s="83">
        <f t="shared" si="5"/>
        <v>7.7554913785639741</v>
      </c>
      <c r="S38" s="67"/>
    </row>
    <row r="39" spans="1:21" s="1" customFormat="1" x14ac:dyDescent="0.2">
      <c r="A39" s="37">
        <v>75</v>
      </c>
      <c r="B39" s="84" t="s">
        <v>86</v>
      </c>
      <c r="C39" s="80" t="s">
        <v>18</v>
      </c>
      <c r="D39" s="37">
        <v>5.37</v>
      </c>
      <c r="E39" s="37">
        <v>3.4700000000000002E-2</v>
      </c>
      <c r="F39" s="37">
        <v>31</v>
      </c>
      <c r="G39" s="37" t="s">
        <v>63</v>
      </c>
      <c r="H39" s="38">
        <v>9.702</v>
      </c>
      <c r="I39" s="38">
        <v>1.81</v>
      </c>
      <c r="J39" s="38">
        <v>0.29799999999999999</v>
      </c>
      <c r="K39" s="39">
        <v>22.5313671383187</v>
      </c>
      <c r="L39" s="39">
        <v>22.424646239611398</v>
      </c>
      <c r="M39" s="40">
        <v>347319.381798491</v>
      </c>
      <c r="N39" s="40">
        <v>373034.554840672</v>
      </c>
      <c r="O39" s="81">
        <f t="shared" si="2"/>
        <v>360176.96831958147</v>
      </c>
      <c r="P39" s="82">
        <f t="shared" ref="P39:P102" si="8">O39*200</f>
        <v>72035393.66391629</v>
      </c>
      <c r="Q39" s="81">
        <f t="shared" si="7"/>
        <v>7424798.3574434435</v>
      </c>
      <c r="R39" s="83">
        <f t="shared" si="5"/>
        <v>6.8706846635867231</v>
      </c>
      <c r="S39" s="67"/>
    </row>
    <row r="40" spans="1:21" s="1" customFormat="1" x14ac:dyDescent="0.2">
      <c r="A40" s="37">
        <v>126</v>
      </c>
      <c r="B40" s="84" t="s">
        <v>86</v>
      </c>
      <c r="C40" s="80" t="s">
        <v>10</v>
      </c>
      <c r="D40" s="37">
        <v>5.14</v>
      </c>
      <c r="E40" s="37">
        <v>3.4000000000000002E-2</v>
      </c>
      <c r="F40" s="37">
        <v>32</v>
      </c>
      <c r="G40" s="37"/>
      <c r="H40" s="38">
        <v>46.201999999999998</v>
      </c>
      <c r="I40" s="38">
        <v>1.9059999999999999</v>
      </c>
      <c r="J40" s="38">
        <v>0.82899999999999996</v>
      </c>
      <c r="K40" s="39">
        <v>14.591088364012201</v>
      </c>
      <c r="L40" s="39">
        <v>14.837477596505201</v>
      </c>
      <c r="M40" s="44">
        <v>163816472.72966999</v>
      </c>
      <c r="N40" s="44">
        <v>139493404.23203701</v>
      </c>
      <c r="O40" s="81">
        <f t="shared" si="2"/>
        <v>151654938.4808535</v>
      </c>
      <c r="P40" s="82">
        <f t="shared" si="8"/>
        <v>30330987696.1707</v>
      </c>
      <c r="Q40" s="81">
        <f t="shared" si="7"/>
        <v>656486465.87097311</v>
      </c>
      <c r="R40" s="83">
        <f t="shared" si="5"/>
        <v>8.8172257771000737</v>
      </c>
      <c r="S40" s="67"/>
    </row>
    <row r="41" spans="1:21" s="1" customFormat="1" x14ac:dyDescent="0.2">
      <c r="A41" s="37">
        <v>139</v>
      </c>
      <c r="B41" s="84" t="s">
        <v>86</v>
      </c>
      <c r="C41" s="80"/>
      <c r="D41" s="37">
        <v>8.2200000000000006</v>
      </c>
      <c r="E41" s="37">
        <v>9.7100000000000006E-2</v>
      </c>
      <c r="F41" s="37">
        <v>35</v>
      </c>
      <c r="G41" s="37" t="s">
        <v>64</v>
      </c>
      <c r="H41" s="38">
        <v>211.84899999999999</v>
      </c>
      <c r="I41" s="38">
        <v>1.9910000000000001</v>
      </c>
      <c r="J41" s="38">
        <v>1.431</v>
      </c>
      <c r="K41" s="39">
        <v>26.105138997065801</v>
      </c>
      <c r="L41" s="39">
        <v>26.32</v>
      </c>
      <c r="M41" s="40">
        <v>31765.680331743901</v>
      </c>
      <c r="N41" s="40">
        <v>27484.748062718299</v>
      </c>
      <c r="O41" s="81">
        <f t="shared" si="2"/>
        <v>29625.2141972311</v>
      </c>
      <c r="P41" s="82">
        <f t="shared" si="8"/>
        <v>5925042.8394462196</v>
      </c>
      <c r="Q41" s="81">
        <f t="shared" si="7"/>
        <v>27968.23605231188</v>
      </c>
      <c r="R41" s="83">
        <f t="shared" si="5"/>
        <v>4.44666507642141</v>
      </c>
      <c r="S41" s="67"/>
    </row>
    <row r="42" spans="1:21" s="1" customFormat="1" x14ac:dyDescent="0.2">
      <c r="A42" s="37">
        <v>144</v>
      </c>
      <c r="B42" s="84" t="s">
        <v>86</v>
      </c>
      <c r="C42" s="80"/>
      <c r="D42" s="37">
        <v>7.17</v>
      </c>
      <c r="E42" s="37">
        <v>7.1199999999999999E-2</v>
      </c>
      <c r="F42" s="37">
        <v>34</v>
      </c>
      <c r="G42" s="37" t="s">
        <v>64</v>
      </c>
      <c r="H42" s="38">
        <v>142.066</v>
      </c>
      <c r="I42" s="38">
        <v>1.847</v>
      </c>
      <c r="J42" s="38">
        <v>0.89</v>
      </c>
      <c r="K42" s="39">
        <v>27.258134415422301</v>
      </c>
      <c r="L42" s="39">
        <v>27.33</v>
      </c>
      <c r="M42" s="40">
        <v>14683.2637243305</v>
      </c>
      <c r="N42" s="40">
        <v>14025.875033497399</v>
      </c>
      <c r="O42" s="81">
        <f t="shared" si="2"/>
        <v>14354.56937891395</v>
      </c>
      <c r="P42" s="82">
        <f t="shared" si="8"/>
        <v>2870913.8757827901</v>
      </c>
      <c r="Q42" s="81">
        <f t="shared" si="7"/>
        <v>20208.310755443174</v>
      </c>
      <c r="R42" s="83">
        <f t="shared" si="5"/>
        <v>4.3055300116720883</v>
      </c>
      <c r="S42" s="67"/>
    </row>
    <row r="43" spans="1:21" s="1" customFormat="1" x14ac:dyDescent="0.2">
      <c r="A43" s="37">
        <v>148</v>
      </c>
      <c r="B43" s="84" t="s">
        <v>86</v>
      </c>
      <c r="C43" s="80"/>
      <c r="D43" s="37">
        <v>8.67</v>
      </c>
      <c r="E43" s="37">
        <v>0.1268</v>
      </c>
      <c r="F43" s="37">
        <v>35</v>
      </c>
      <c r="G43" s="37" t="s">
        <v>64</v>
      </c>
      <c r="H43" s="38">
        <v>142.602</v>
      </c>
      <c r="I43" s="38">
        <v>1.9490000000000001</v>
      </c>
      <c r="J43" s="38">
        <v>1.2450000000000001</v>
      </c>
      <c r="K43" s="39">
        <v>28.092900875740099</v>
      </c>
      <c r="L43" s="39">
        <v>30.48</v>
      </c>
      <c r="M43" s="40">
        <v>8398.1784453062992</v>
      </c>
      <c r="N43" s="40">
        <v>1697.83564871557</v>
      </c>
      <c r="O43" s="81">
        <f t="shared" si="2"/>
        <v>5048.0070470109349</v>
      </c>
      <c r="P43" s="82">
        <f t="shared" si="8"/>
        <v>1009601.409402187</v>
      </c>
      <c r="Q43" s="81">
        <f t="shared" si="7"/>
        <v>7079.8544859271742</v>
      </c>
      <c r="R43" s="83">
        <f t="shared" si="5"/>
        <v>3.8500243316151499</v>
      </c>
      <c r="S43" s="67"/>
    </row>
    <row r="44" spans="1:21" s="1" customFormat="1" x14ac:dyDescent="0.2">
      <c r="A44" s="37">
        <v>159</v>
      </c>
      <c r="B44" s="84" t="s">
        <v>86</v>
      </c>
      <c r="C44" s="80" t="s">
        <v>18</v>
      </c>
      <c r="D44" s="37">
        <v>4.5</v>
      </c>
      <c r="E44" s="37">
        <v>2.1000000000000001E-2</v>
      </c>
      <c r="F44" s="37">
        <v>28</v>
      </c>
      <c r="G44" s="37" t="s">
        <v>63</v>
      </c>
      <c r="H44" s="38">
        <v>22.207000000000001</v>
      </c>
      <c r="I44" s="38">
        <v>1.8740000000000001</v>
      </c>
      <c r="J44" s="38">
        <v>0.54500000000000004</v>
      </c>
      <c r="K44" s="39">
        <v>16.3915762194443</v>
      </c>
      <c r="L44" s="39">
        <v>16.407269376154598</v>
      </c>
      <c r="M44" s="40">
        <v>35146433.628109403</v>
      </c>
      <c r="N44" s="40">
        <v>34798136.816907503</v>
      </c>
      <c r="O44" s="81">
        <f t="shared" si="2"/>
        <v>34972285.222508453</v>
      </c>
      <c r="P44" s="82">
        <f>O44*200</f>
        <v>6994457044.5016909</v>
      </c>
      <c r="Q44" s="81">
        <f t="shared" si="7"/>
        <v>314966318.93104386</v>
      </c>
      <c r="R44" s="83">
        <f t="shared" si="5"/>
        <v>8.4982641147913025</v>
      </c>
      <c r="S44" s="67"/>
    </row>
    <row r="45" spans="1:21" s="1" customFormat="1" x14ac:dyDescent="0.2">
      <c r="A45" s="90">
        <v>176</v>
      </c>
      <c r="B45" s="91" t="s">
        <v>86</v>
      </c>
      <c r="C45" s="92" t="s">
        <v>87</v>
      </c>
      <c r="D45" s="140" t="s">
        <v>67</v>
      </c>
      <c r="E45" s="141"/>
      <c r="F45" s="141"/>
      <c r="G45" s="142"/>
      <c r="H45" s="31"/>
      <c r="I45" s="31"/>
      <c r="J45" s="31"/>
      <c r="K45" s="31"/>
      <c r="L45" s="31"/>
      <c r="M45" s="32"/>
      <c r="N45" s="32"/>
      <c r="O45" s="71" t="e">
        <f t="shared" si="2"/>
        <v>#DIV/0!</v>
      </c>
      <c r="P45" s="93" t="e">
        <f t="shared" si="8"/>
        <v>#DIV/0!</v>
      </c>
      <c r="Q45" s="71"/>
      <c r="R45" s="55"/>
      <c r="S45" s="67"/>
    </row>
    <row r="46" spans="1:21" s="1" customFormat="1" x14ac:dyDescent="0.2">
      <c r="A46" s="94">
        <v>212</v>
      </c>
      <c r="B46" s="95" t="s">
        <v>86</v>
      </c>
      <c r="C46" s="96" t="s">
        <v>19</v>
      </c>
      <c r="D46" s="143"/>
      <c r="E46" s="144"/>
      <c r="F46" s="144"/>
      <c r="G46" s="145"/>
      <c r="H46" s="31"/>
      <c r="I46" s="31"/>
      <c r="J46" s="31"/>
      <c r="K46" s="31"/>
      <c r="L46" s="31"/>
      <c r="M46" s="32"/>
      <c r="N46" s="32"/>
      <c r="O46" s="71" t="e">
        <f t="shared" si="2"/>
        <v>#DIV/0!</v>
      </c>
      <c r="P46" s="93" t="e">
        <f t="shared" si="8"/>
        <v>#DIV/0!</v>
      </c>
      <c r="Q46" s="71"/>
      <c r="R46" s="55"/>
      <c r="T46" s="67"/>
    </row>
    <row r="47" spans="1:21" s="1" customFormat="1" x14ac:dyDescent="0.2">
      <c r="A47" s="37">
        <v>215</v>
      </c>
      <c r="B47" s="84" t="s">
        <v>86</v>
      </c>
      <c r="C47" s="80"/>
      <c r="D47" s="37">
        <v>7.36</v>
      </c>
      <c r="E47" s="37">
        <v>7.7700000000000005E-2</v>
      </c>
      <c r="F47" s="37">
        <v>35</v>
      </c>
      <c r="G47" s="37" t="s">
        <v>64</v>
      </c>
      <c r="H47" s="38">
        <v>127.083</v>
      </c>
      <c r="I47" s="38">
        <v>1.8720000000000001</v>
      </c>
      <c r="J47" s="38">
        <v>0.89800000000000002</v>
      </c>
      <c r="K47" s="39">
        <v>25.856796266766999</v>
      </c>
      <c r="L47" s="39">
        <v>25.956067359310001</v>
      </c>
      <c r="M47" s="40">
        <v>86521.348687327598</v>
      </c>
      <c r="N47" s="40">
        <v>81238.643700831904</v>
      </c>
      <c r="O47" s="81">
        <f t="shared" si="2"/>
        <v>83879.996194079751</v>
      </c>
      <c r="P47" s="82">
        <f>O47*200</f>
        <v>16775999.23881595</v>
      </c>
      <c r="Q47" s="81">
        <f t="shared" ref="Q47:Q110" si="9">P47/H47</f>
        <v>132008.20911385433</v>
      </c>
      <c r="R47" s="83">
        <f t="shared" si="5"/>
        <v>5.1206009392512541</v>
      </c>
      <c r="T47" s="67"/>
    </row>
    <row r="48" spans="1:21" s="1" customFormat="1" x14ac:dyDescent="0.2">
      <c r="A48" s="37">
        <v>235</v>
      </c>
      <c r="B48" s="84" t="s">
        <v>86</v>
      </c>
      <c r="C48" s="80"/>
      <c r="D48" s="37">
        <v>5.67</v>
      </c>
      <c r="E48" s="37">
        <v>3.4700000000000002E-2</v>
      </c>
      <c r="F48" s="37">
        <v>29</v>
      </c>
      <c r="G48" s="37" t="s">
        <v>69</v>
      </c>
      <c r="H48" s="38">
        <v>73.816999999999993</v>
      </c>
      <c r="I48" s="38">
        <v>1.9630000000000001</v>
      </c>
      <c r="J48" s="38">
        <v>1.0489999999999999</v>
      </c>
      <c r="K48" s="39">
        <v>28.026851537042599</v>
      </c>
      <c r="L48" s="39">
        <v>27.8150496212813</v>
      </c>
      <c r="M48" s="40">
        <v>21828.464442854001</v>
      </c>
      <c r="N48" s="40">
        <v>24968.876489666502</v>
      </c>
      <c r="O48" s="81">
        <f t="shared" si="2"/>
        <v>23398.67046626025</v>
      </c>
      <c r="P48" s="82">
        <f t="shared" si="8"/>
        <v>4679734.0932520498</v>
      </c>
      <c r="Q48" s="81">
        <f t="shared" si="9"/>
        <v>63396.427560752265</v>
      </c>
      <c r="R48" s="83">
        <f t="shared" si="5"/>
        <v>4.8020647857308605</v>
      </c>
      <c r="T48" s="67"/>
    </row>
    <row r="49" spans="1:22" s="1" customFormat="1" x14ac:dyDescent="0.2">
      <c r="A49" s="37">
        <v>250</v>
      </c>
      <c r="B49" s="84" t="s">
        <v>86</v>
      </c>
      <c r="C49" s="80" t="s">
        <v>20</v>
      </c>
      <c r="D49" s="37">
        <v>4.9000000000000004</v>
      </c>
      <c r="E49" s="37">
        <v>1.9900000000000001E-2</v>
      </c>
      <c r="F49" s="37">
        <v>25</v>
      </c>
      <c r="G49" s="37" t="s">
        <v>63</v>
      </c>
      <c r="H49" s="38">
        <v>8.3819999999999997</v>
      </c>
      <c r="I49" s="38">
        <v>1.696</v>
      </c>
      <c r="J49" s="38">
        <v>0.219</v>
      </c>
      <c r="K49" s="39">
        <v>25.8369665821483</v>
      </c>
      <c r="L49" s="39">
        <v>25.857626824353201</v>
      </c>
      <c r="M49" s="40">
        <v>87617.053070076407</v>
      </c>
      <c r="N49" s="40">
        <v>86475.755774141202</v>
      </c>
      <c r="O49" s="81">
        <f t="shared" si="2"/>
        <v>87046.404422108812</v>
      </c>
      <c r="P49" s="82">
        <f t="shared" si="8"/>
        <v>17409280.884421762</v>
      </c>
      <c r="Q49" s="81">
        <f t="shared" si="9"/>
        <v>2076984.1188763734</v>
      </c>
      <c r="R49" s="83">
        <f t="shared" si="5"/>
        <v>6.3174331758269977</v>
      </c>
      <c r="T49" s="67"/>
      <c r="U49" s="79"/>
      <c r="V49" s="79"/>
    </row>
    <row r="50" spans="1:22" s="100" customFormat="1" x14ac:dyDescent="0.2">
      <c r="A50" s="11">
        <v>25</v>
      </c>
      <c r="B50" s="11" t="s">
        <v>88</v>
      </c>
      <c r="C50" s="97" t="s">
        <v>10</v>
      </c>
      <c r="D50" s="11">
        <v>10.32</v>
      </c>
      <c r="E50" s="11">
        <v>0.23499999999999999</v>
      </c>
      <c r="F50" s="11">
        <v>31</v>
      </c>
      <c r="G50" s="11" t="s">
        <v>89</v>
      </c>
      <c r="H50" s="12">
        <v>11.369</v>
      </c>
      <c r="I50" s="12">
        <v>1.861</v>
      </c>
      <c r="J50" s="12">
        <v>0.26700000000000002</v>
      </c>
      <c r="K50" s="13">
        <v>22.635155208930001</v>
      </c>
      <c r="L50" s="13">
        <v>22.8056831479477</v>
      </c>
      <c r="M50" s="14">
        <v>668430.63094168401</v>
      </c>
      <c r="N50" s="14">
        <v>599868.78152229195</v>
      </c>
      <c r="O50" s="98">
        <f t="shared" si="2"/>
        <v>634149.70623198804</v>
      </c>
      <c r="P50" s="99">
        <f t="shared" si="8"/>
        <v>126829941.24639761</v>
      </c>
      <c r="Q50" s="98">
        <f t="shared" si="9"/>
        <v>11155769.30657029</v>
      </c>
      <c r="R50" s="12">
        <f t="shared" si="5"/>
        <v>7.0474995247837358</v>
      </c>
      <c r="S50" s="67"/>
    </row>
    <row r="51" spans="1:22" s="100" customFormat="1" x14ac:dyDescent="0.2">
      <c r="A51" s="11">
        <v>27</v>
      </c>
      <c r="B51" s="101" t="s">
        <v>88</v>
      </c>
      <c r="C51" s="97" t="s">
        <v>10</v>
      </c>
      <c r="D51" s="11">
        <v>8.1199999999999992</v>
      </c>
      <c r="E51" s="11">
        <v>0.1212</v>
      </c>
      <c r="F51" s="11">
        <v>32</v>
      </c>
      <c r="G51" s="11"/>
      <c r="H51" s="12">
        <v>86.182000000000002</v>
      </c>
      <c r="I51" s="12">
        <v>1.9139999999999999</v>
      </c>
      <c r="J51" s="12">
        <v>1.0609999999999999</v>
      </c>
      <c r="K51" s="13">
        <v>14.704169286908799</v>
      </c>
      <c r="L51" s="13">
        <v>14.885643021005899</v>
      </c>
      <c r="M51" s="14">
        <v>102554841.309655</v>
      </c>
      <c r="N51" s="14">
        <v>91398539.850911602</v>
      </c>
      <c r="O51" s="98">
        <f t="shared" si="2"/>
        <v>96976690.580283299</v>
      </c>
      <c r="P51" s="99">
        <f t="shared" si="8"/>
        <v>19395338116.05666</v>
      </c>
      <c r="Q51" s="98">
        <f t="shared" si="9"/>
        <v>225050916.85104382</v>
      </c>
      <c r="R51" s="12">
        <f t="shared" si="5"/>
        <v>8.3522807865814865</v>
      </c>
      <c r="S51" s="67"/>
    </row>
    <row r="52" spans="1:22" s="100" customFormat="1" x14ac:dyDescent="0.2">
      <c r="A52" s="11">
        <v>56</v>
      </c>
      <c r="B52" s="101" t="s">
        <v>88</v>
      </c>
      <c r="C52" s="97" t="s">
        <v>21</v>
      </c>
      <c r="D52" s="11">
        <v>10.050000000000001</v>
      </c>
      <c r="E52" s="11">
        <v>0.23350000000000001</v>
      </c>
      <c r="F52" s="11">
        <v>33</v>
      </c>
      <c r="G52" s="11"/>
      <c r="H52" s="12">
        <v>144.90299999999999</v>
      </c>
      <c r="I52" s="12">
        <v>1.9870000000000001</v>
      </c>
      <c r="J52" s="12">
        <v>1.2749999999999999</v>
      </c>
      <c r="K52" s="13">
        <v>13.812753951260399</v>
      </c>
      <c r="L52" s="13">
        <v>13.670307068170199</v>
      </c>
      <c r="M52" s="14">
        <v>180569224.41964999</v>
      </c>
      <c r="N52" s="14">
        <v>197653382.43320999</v>
      </c>
      <c r="O52" s="98">
        <f t="shared" si="2"/>
        <v>189111303.42642999</v>
      </c>
      <c r="P52" s="99">
        <f t="shared" si="8"/>
        <v>37822260685.285995</v>
      </c>
      <c r="Q52" s="98">
        <f t="shared" si="9"/>
        <v>261017789.04015788</v>
      </c>
      <c r="R52" s="12">
        <f t="shared" si="5"/>
        <v>8.416670106643684</v>
      </c>
      <c r="S52" s="67"/>
    </row>
    <row r="53" spans="1:22" s="100" customFormat="1" x14ac:dyDescent="0.2">
      <c r="A53" s="11">
        <v>85</v>
      </c>
      <c r="B53" s="101" t="s">
        <v>88</v>
      </c>
      <c r="C53" s="97" t="s">
        <v>22</v>
      </c>
      <c r="D53" s="11">
        <v>10.42</v>
      </c>
      <c r="E53" s="11">
        <v>0.26</v>
      </c>
      <c r="F53" s="11">
        <v>33</v>
      </c>
      <c r="G53" s="11" t="s">
        <v>90</v>
      </c>
      <c r="H53" s="133">
        <v>96.8</v>
      </c>
      <c r="I53" s="133">
        <v>2.0699999999999998</v>
      </c>
      <c r="J53" s="133">
        <v>1.34</v>
      </c>
      <c r="K53" s="134">
        <v>13.8034641410696</v>
      </c>
      <c r="L53" s="134">
        <v>13.653890338627001</v>
      </c>
      <c r="M53" s="135">
        <v>181636926.707104</v>
      </c>
      <c r="N53" s="135">
        <v>199723399.72277799</v>
      </c>
      <c r="O53" s="136">
        <f t="shared" si="2"/>
        <v>190680163.21494099</v>
      </c>
      <c r="P53" s="99">
        <f t="shared" si="8"/>
        <v>38136032642.988197</v>
      </c>
      <c r="Q53" s="98">
        <f t="shared" si="9"/>
        <v>393967279.36971277</v>
      </c>
      <c r="R53" s="12">
        <f t="shared" si="5"/>
        <v>8.595460153350249</v>
      </c>
      <c r="S53" s="67"/>
    </row>
    <row r="54" spans="1:22" s="100" customFormat="1" x14ac:dyDescent="0.2">
      <c r="A54" s="11">
        <v>98</v>
      </c>
      <c r="B54" s="101" t="s">
        <v>88</v>
      </c>
      <c r="C54" s="97" t="s">
        <v>23</v>
      </c>
      <c r="D54" s="11">
        <v>9.33</v>
      </c>
      <c r="E54" s="11">
        <v>0.18140000000000001</v>
      </c>
      <c r="F54" s="11">
        <v>33</v>
      </c>
      <c r="G54" s="11"/>
      <c r="H54" s="12">
        <v>133.13999999999999</v>
      </c>
      <c r="I54" s="12">
        <v>1.9430000000000001</v>
      </c>
      <c r="J54" s="12">
        <v>1.1259999999999999</v>
      </c>
      <c r="K54" s="13">
        <v>12.607474055034</v>
      </c>
      <c r="L54" s="13">
        <v>12.799224631007901</v>
      </c>
      <c r="M54" s="14">
        <v>388004823.27136397</v>
      </c>
      <c r="N54" s="14">
        <v>343548266.74203402</v>
      </c>
      <c r="O54" s="98">
        <f t="shared" si="2"/>
        <v>365776545.00669897</v>
      </c>
      <c r="P54" s="99">
        <f t="shared" si="8"/>
        <v>73155309001.339798</v>
      </c>
      <c r="Q54" s="98">
        <f t="shared" si="9"/>
        <v>549461536.73831916</v>
      </c>
      <c r="R54" s="12">
        <f t="shared" si="5"/>
        <v>8.7399372964556719</v>
      </c>
      <c r="S54" s="67"/>
    </row>
    <row r="55" spans="1:22" s="100" customFormat="1" x14ac:dyDescent="0.2">
      <c r="A55" s="11">
        <v>128</v>
      </c>
      <c r="B55" s="101" t="s">
        <v>88</v>
      </c>
      <c r="C55" s="97" t="s">
        <v>22</v>
      </c>
      <c r="D55" s="11">
        <v>10.07</v>
      </c>
      <c r="E55" s="11">
        <v>0.20930000000000001</v>
      </c>
      <c r="F55" s="11">
        <v>31</v>
      </c>
      <c r="G55" s="11" t="s">
        <v>63</v>
      </c>
      <c r="H55" s="12">
        <v>72.254000000000005</v>
      </c>
      <c r="I55" s="12">
        <v>1.764</v>
      </c>
      <c r="J55" s="12">
        <v>0.63700000000000001</v>
      </c>
      <c r="K55" s="13">
        <v>16.505480166901599</v>
      </c>
      <c r="L55" s="13">
        <v>16.586734857778399</v>
      </c>
      <c r="M55" s="14">
        <v>32695471.908750799</v>
      </c>
      <c r="N55" s="14">
        <v>31052215.167559002</v>
      </c>
      <c r="O55" s="98">
        <f t="shared" si="2"/>
        <v>31873843.5381549</v>
      </c>
      <c r="P55" s="99">
        <f t="shared" si="8"/>
        <v>6374768707.6309795</v>
      </c>
      <c r="Q55" s="98">
        <f t="shared" si="9"/>
        <v>88227208.287859201</v>
      </c>
      <c r="R55" s="12">
        <f t="shared" si="5"/>
        <v>7.9456025373661454</v>
      </c>
      <c r="S55" s="67"/>
    </row>
    <row r="56" spans="1:22" s="100" customFormat="1" x14ac:dyDescent="0.2">
      <c r="A56" s="11">
        <v>167</v>
      </c>
      <c r="B56" s="11" t="s">
        <v>88</v>
      </c>
      <c r="C56" s="97" t="s">
        <v>10</v>
      </c>
      <c r="D56" s="11">
        <v>12.57</v>
      </c>
      <c r="E56" s="11">
        <v>0.439</v>
      </c>
      <c r="F56" s="11">
        <v>36</v>
      </c>
      <c r="G56" s="11"/>
      <c r="H56" s="12">
        <v>64.298000000000002</v>
      </c>
      <c r="I56" s="12">
        <v>1.994</v>
      </c>
      <c r="J56" s="12">
        <v>0.88800000000000001</v>
      </c>
      <c r="K56" s="13">
        <v>16.777782771129299</v>
      </c>
      <c r="L56" s="13">
        <v>16.899612249518601</v>
      </c>
      <c r="M56" s="14">
        <v>27506598.5276349</v>
      </c>
      <c r="N56" s="14">
        <v>25460025.809557099</v>
      </c>
      <c r="O56" s="98">
        <f t="shared" si="2"/>
        <v>26483312.168595999</v>
      </c>
      <c r="P56" s="99">
        <f t="shared" si="8"/>
        <v>5296662433.7192001</v>
      </c>
      <c r="Q56" s="98">
        <f t="shared" si="9"/>
        <v>82376783.628094181</v>
      </c>
      <c r="R56" s="12">
        <f t="shared" si="5"/>
        <v>7.915804831079492</v>
      </c>
      <c r="S56" s="67"/>
    </row>
    <row r="57" spans="1:22" s="100" customFormat="1" x14ac:dyDescent="0.2">
      <c r="A57" s="11">
        <v>179</v>
      </c>
      <c r="B57" s="101" t="s">
        <v>88</v>
      </c>
      <c r="C57" s="97" t="s">
        <v>24</v>
      </c>
      <c r="D57" s="11">
        <v>9.66</v>
      </c>
      <c r="E57" s="11">
        <v>0.1961</v>
      </c>
      <c r="F57" s="11">
        <v>34</v>
      </c>
      <c r="G57" s="11"/>
      <c r="H57" s="12">
        <v>186.001</v>
      </c>
      <c r="I57" s="12">
        <v>1.9830000000000001</v>
      </c>
      <c r="J57" s="12">
        <v>1.5529999999999999</v>
      </c>
      <c r="K57" s="13">
        <v>10.171677302008399</v>
      </c>
      <c r="L57" s="13">
        <v>10.5444563978731</v>
      </c>
      <c r="M57" s="14">
        <v>1820453524.9690101</v>
      </c>
      <c r="N57" s="14">
        <v>1436931389.9935601</v>
      </c>
      <c r="O57" s="98">
        <f t="shared" si="2"/>
        <v>1628692457.4812851</v>
      </c>
      <c r="P57" s="99">
        <f>O57*200</f>
        <v>325738491496.25702</v>
      </c>
      <c r="Q57" s="98">
        <f t="shared" si="9"/>
        <v>1751272796.9003232</v>
      </c>
      <c r="R57" s="12">
        <f t="shared" si="5"/>
        <v>9.2433538016863075</v>
      </c>
      <c r="S57" s="67"/>
    </row>
    <row r="58" spans="1:22" s="100" customFormat="1" x14ac:dyDescent="0.2">
      <c r="A58" s="11">
        <v>188</v>
      </c>
      <c r="B58" s="101" t="s">
        <v>88</v>
      </c>
      <c r="C58" s="97" t="s">
        <v>15</v>
      </c>
      <c r="D58" s="11">
        <v>10.39</v>
      </c>
      <c r="E58" s="11">
        <v>0.24049999999999999</v>
      </c>
      <c r="F58" s="11">
        <v>35</v>
      </c>
      <c r="G58" s="11"/>
      <c r="H58" s="12">
        <v>150.66999999999999</v>
      </c>
      <c r="I58" s="12">
        <v>1.9410000000000001</v>
      </c>
      <c r="J58" s="12">
        <v>1.153</v>
      </c>
      <c r="K58" s="13">
        <v>13.7282817070114</v>
      </c>
      <c r="L58" s="13">
        <v>13.7006484440184</v>
      </c>
      <c r="M58" s="14">
        <v>190513415.20449999</v>
      </c>
      <c r="N58" s="14">
        <v>193883882.64006501</v>
      </c>
      <c r="O58" s="98">
        <f t="shared" si="2"/>
        <v>192198648.92228252</v>
      </c>
      <c r="P58" s="99">
        <f t="shared" si="8"/>
        <v>38439729784.456505</v>
      </c>
      <c r="Q58" s="98">
        <f t="shared" si="9"/>
        <v>255125305.5316686</v>
      </c>
      <c r="R58" s="12">
        <f t="shared" si="5"/>
        <v>8.4067535378246205</v>
      </c>
      <c r="S58" s="67"/>
    </row>
    <row r="59" spans="1:22" s="100" customFormat="1" x14ac:dyDescent="0.2">
      <c r="A59" s="11">
        <v>225</v>
      </c>
      <c r="B59" s="101" t="s">
        <v>88</v>
      </c>
      <c r="C59" s="97" t="s">
        <v>21</v>
      </c>
      <c r="D59" s="11">
        <v>8.42</v>
      </c>
      <c r="E59" s="11">
        <v>0.1414</v>
      </c>
      <c r="F59" s="11">
        <v>33</v>
      </c>
      <c r="G59" s="11"/>
      <c r="H59" s="12">
        <v>115.783</v>
      </c>
      <c r="I59" s="12">
        <v>1.8480000000000001</v>
      </c>
      <c r="J59" s="12">
        <v>0.82599999999999996</v>
      </c>
      <c r="K59" s="13">
        <v>14.098254263614001</v>
      </c>
      <c r="L59" s="13">
        <v>14.1111347523922</v>
      </c>
      <c r="M59" s="14">
        <v>150645277.96263999</v>
      </c>
      <c r="N59" s="14">
        <v>149418876.071096</v>
      </c>
      <c r="O59" s="98">
        <f t="shared" si="2"/>
        <v>150032077.016868</v>
      </c>
      <c r="P59" s="99">
        <f t="shared" si="8"/>
        <v>30006415403.3736</v>
      </c>
      <c r="Q59" s="98">
        <f t="shared" si="9"/>
        <v>259160804.2922847</v>
      </c>
      <c r="R59" s="12">
        <f t="shared" si="5"/>
        <v>8.413569319086065</v>
      </c>
      <c r="S59" s="67"/>
    </row>
    <row r="60" spans="1:22" s="100" customFormat="1" x14ac:dyDescent="0.2">
      <c r="A60" s="11">
        <v>230</v>
      </c>
      <c r="B60" s="101" t="s">
        <v>88</v>
      </c>
      <c r="C60" s="97" t="s">
        <v>8</v>
      </c>
      <c r="D60" s="11">
        <v>10.65</v>
      </c>
      <c r="E60" s="11">
        <v>0.30549999999999999</v>
      </c>
      <c r="F60" s="11">
        <v>36</v>
      </c>
      <c r="G60" s="11"/>
      <c r="H60" s="12">
        <v>212.851</v>
      </c>
      <c r="I60" s="12">
        <v>2.0569999999999999</v>
      </c>
      <c r="J60" s="12">
        <v>1.383</v>
      </c>
      <c r="K60" s="13">
        <v>14.8877041792417</v>
      </c>
      <c r="L60" s="13">
        <v>15.032404227594</v>
      </c>
      <c r="M60" s="14">
        <v>91279062.566180006</v>
      </c>
      <c r="N60" s="14">
        <v>83270207.454607606</v>
      </c>
      <c r="O60" s="98">
        <f t="shared" si="2"/>
        <v>87274635.010393798</v>
      </c>
      <c r="P60" s="99">
        <f t="shared" si="8"/>
        <v>17454927002.078758</v>
      </c>
      <c r="Q60" s="98">
        <f t="shared" si="9"/>
        <v>82005379.359640121</v>
      </c>
      <c r="R60" s="12">
        <f t="shared" si="5"/>
        <v>7.9138423420127504</v>
      </c>
      <c r="S60" s="67"/>
    </row>
    <row r="61" spans="1:22" s="100" customFormat="1" x14ac:dyDescent="0.2">
      <c r="A61" s="11">
        <v>233</v>
      </c>
      <c r="B61" s="101" t="s">
        <v>88</v>
      </c>
      <c r="C61" s="97" t="s">
        <v>10</v>
      </c>
      <c r="D61" s="11">
        <v>10.8</v>
      </c>
      <c r="E61" s="11">
        <v>0.28699999999999998</v>
      </c>
      <c r="F61" s="11">
        <v>36</v>
      </c>
      <c r="G61" s="11"/>
      <c r="H61" s="12">
        <v>121.553</v>
      </c>
      <c r="I61" s="12">
        <v>1.978</v>
      </c>
      <c r="J61" s="12">
        <v>1.077</v>
      </c>
      <c r="K61" s="13">
        <v>16.331080318382298</v>
      </c>
      <c r="L61" s="13">
        <v>16.3772584680537</v>
      </c>
      <c r="M61" s="14">
        <v>36522024.998879999</v>
      </c>
      <c r="N61" s="14">
        <v>35467244.762899697</v>
      </c>
      <c r="O61" s="98">
        <f t="shared" si="2"/>
        <v>35994634.880889848</v>
      </c>
      <c r="P61" s="99">
        <f t="shared" si="8"/>
        <v>7198926976.1779699</v>
      </c>
      <c r="Q61" s="98">
        <f t="shared" si="9"/>
        <v>59224593.191266112</v>
      </c>
      <c r="R61" s="12">
        <f t="shared" si="5"/>
        <v>7.7725020862728931</v>
      </c>
      <c r="S61" s="67"/>
    </row>
    <row r="62" spans="1:22" s="100" customFormat="1" x14ac:dyDescent="0.2">
      <c r="A62" s="11">
        <v>252</v>
      </c>
      <c r="B62" s="101" t="s">
        <v>88</v>
      </c>
      <c r="C62" s="97" t="s">
        <v>25</v>
      </c>
      <c r="D62" s="11">
        <v>10.49</v>
      </c>
      <c r="E62" s="11">
        <v>0.223</v>
      </c>
      <c r="F62" s="11">
        <v>33</v>
      </c>
      <c r="G62" s="11"/>
      <c r="H62" s="12">
        <v>115.64700000000001</v>
      </c>
      <c r="I62" s="12">
        <v>1.9410000000000001</v>
      </c>
      <c r="J62" s="12">
        <v>1.147</v>
      </c>
      <c r="K62" s="13">
        <v>13.0664758856518</v>
      </c>
      <c r="L62" s="13">
        <v>13.019019452698901</v>
      </c>
      <c r="M62" s="14">
        <v>289954109.84670001</v>
      </c>
      <c r="N62" s="14">
        <v>298819531.46196002</v>
      </c>
      <c r="O62" s="98">
        <f t="shared" si="2"/>
        <v>294386820.65433002</v>
      </c>
      <c r="P62" s="99">
        <f t="shared" si="8"/>
        <v>58877364130.866005</v>
      </c>
      <c r="Q62" s="98">
        <f t="shared" si="9"/>
        <v>509112766.70269012</v>
      </c>
      <c r="R62" s="12">
        <f t="shared" si="5"/>
        <v>8.7068139877052069</v>
      </c>
    </row>
    <row r="63" spans="1:22" s="100" customFormat="1" x14ac:dyDescent="0.2">
      <c r="A63" s="11">
        <v>259</v>
      </c>
      <c r="B63" s="101" t="s">
        <v>88</v>
      </c>
      <c r="C63" s="97" t="s">
        <v>10</v>
      </c>
      <c r="D63" s="11">
        <v>8.49</v>
      </c>
      <c r="E63" s="11">
        <v>0.18779999999999999</v>
      </c>
      <c r="F63" s="11">
        <v>31</v>
      </c>
      <c r="G63" s="11"/>
      <c r="H63" s="12">
        <v>64.298000000000002</v>
      </c>
      <c r="I63" s="12">
        <v>1.821</v>
      </c>
      <c r="J63" s="12">
        <v>0.68200000000000005</v>
      </c>
      <c r="K63" s="13">
        <v>17.0096728882212</v>
      </c>
      <c r="L63" s="13">
        <v>17.163534389467198</v>
      </c>
      <c r="M63" s="14">
        <v>23742391.436099999</v>
      </c>
      <c r="N63" s="14">
        <v>21533662.453583099</v>
      </c>
      <c r="O63" s="98">
        <f t="shared" si="2"/>
        <v>22638026.944841549</v>
      </c>
      <c r="P63" s="99">
        <f t="shared" si="8"/>
        <v>4527605388.9683094</v>
      </c>
      <c r="Q63" s="98">
        <f t="shared" si="9"/>
        <v>70415959.889394835</v>
      </c>
      <c r="R63" s="12">
        <f t="shared" si="5"/>
        <v>7.8476711038344762</v>
      </c>
    </row>
    <row r="64" spans="1:22" s="100" customFormat="1" x14ac:dyDescent="0.2">
      <c r="A64" s="11">
        <v>275</v>
      </c>
      <c r="B64" s="101" t="s">
        <v>88</v>
      </c>
      <c r="C64" s="97"/>
      <c r="D64" s="11">
        <v>10.97</v>
      </c>
      <c r="E64" s="11">
        <v>0.3982</v>
      </c>
      <c r="F64" s="11">
        <v>35</v>
      </c>
      <c r="G64" s="11" t="s">
        <v>64</v>
      </c>
      <c r="H64" s="12">
        <v>102.282</v>
      </c>
      <c r="I64" s="12">
        <v>1.8839999999999999</v>
      </c>
      <c r="J64" s="12">
        <v>0.79500000000000004</v>
      </c>
      <c r="K64" s="13">
        <v>15.4171326751162</v>
      </c>
      <c r="L64" s="13">
        <v>15.7486489947587</v>
      </c>
      <c r="M64" s="14">
        <v>65230793.320040002</v>
      </c>
      <c r="N64" s="14">
        <v>52854472.435458601</v>
      </c>
      <c r="O64" s="98">
        <f t="shared" si="2"/>
        <v>59042632.877749301</v>
      </c>
      <c r="P64" s="99">
        <f t="shared" si="8"/>
        <v>11808526575.54986</v>
      </c>
      <c r="Q64" s="98">
        <f t="shared" si="9"/>
        <v>115450681.21028002</v>
      </c>
      <c r="R64" s="12">
        <f t="shared" si="5"/>
        <v>8.0623964997910278</v>
      </c>
    </row>
    <row r="65" spans="1:21" s="100" customFormat="1" x14ac:dyDescent="0.2">
      <c r="A65" s="33">
        <v>5</v>
      </c>
      <c r="B65" s="33" t="s">
        <v>91</v>
      </c>
      <c r="C65" s="102" t="s">
        <v>26</v>
      </c>
      <c r="D65" s="33">
        <v>10.34</v>
      </c>
      <c r="E65" s="33">
        <v>0.21859999999999999</v>
      </c>
      <c r="F65" s="33">
        <v>35</v>
      </c>
      <c r="G65" s="33"/>
      <c r="H65" s="34">
        <v>163.809</v>
      </c>
      <c r="I65" s="34">
        <v>1.9370000000000001</v>
      </c>
      <c r="J65" s="34">
        <v>1.2589999999999999</v>
      </c>
      <c r="K65" s="35">
        <v>11.830330495953101</v>
      </c>
      <c r="L65" s="35">
        <v>11.974925334652401</v>
      </c>
      <c r="M65" s="36">
        <v>635374320.04465604</v>
      </c>
      <c r="N65" s="36">
        <v>579665069.57123399</v>
      </c>
      <c r="O65" s="103">
        <f t="shared" si="2"/>
        <v>607519694.80794501</v>
      </c>
      <c r="P65" s="104">
        <f t="shared" si="8"/>
        <v>121503938961.589</v>
      </c>
      <c r="Q65" s="103">
        <f t="shared" si="9"/>
        <v>741741534.11344314</v>
      </c>
      <c r="R65" s="34">
        <f t="shared" si="5"/>
        <v>8.8702525981856457</v>
      </c>
    </row>
    <row r="66" spans="1:21" s="100" customFormat="1" x14ac:dyDescent="0.2">
      <c r="A66" s="33">
        <v>21</v>
      </c>
      <c r="B66" s="105" t="s">
        <v>91</v>
      </c>
      <c r="C66" s="102" t="s">
        <v>21</v>
      </c>
      <c r="D66" s="33">
        <v>11.3</v>
      </c>
      <c r="E66" s="33">
        <v>0.13189999999999999</v>
      </c>
      <c r="F66" s="33">
        <v>31</v>
      </c>
      <c r="G66" s="33"/>
      <c r="H66" s="34">
        <v>55.332999999999998</v>
      </c>
      <c r="I66" s="34">
        <v>1.8280000000000001</v>
      </c>
      <c r="J66" s="34">
        <v>0.72299999999999998</v>
      </c>
      <c r="K66" s="35">
        <v>14.4835663446173</v>
      </c>
      <c r="L66" s="35">
        <v>14.114484106978299</v>
      </c>
      <c r="M66" s="36">
        <v>223554333.26759201</v>
      </c>
      <c r="N66" s="36">
        <v>175719256.22042501</v>
      </c>
      <c r="O66" s="103">
        <f t="shared" si="2"/>
        <v>199636794.74400851</v>
      </c>
      <c r="P66" s="104">
        <f t="shared" si="8"/>
        <v>39927358948.801704</v>
      </c>
      <c r="Q66" s="103">
        <f t="shared" si="9"/>
        <v>721583123.06944692</v>
      </c>
      <c r="R66" s="34">
        <f t="shared" si="5"/>
        <v>8.8582863670456309</v>
      </c>
      <c r="S66" s="67"/>
      <c r="T66" s="79"/>
      <c r="U66" s="79"/>
    </row>
    <row r="67" spans="1:21" s="100" customFormat="1" x14ac:dyDescent="0.2">
      <c r="A67" s="33">
        <v>48</v>
      </c>
      <c r="B67" s="105" t="s">
        <v>91</v>
      </c>
      <c r="C67" s="102" t="s">
        <v>23</v>
      </c>
      <c r="D67" s="33">
        <v>11.62</v>
      </c>
      <c r="E67" s="33">
        <v>0.28120000000000001</v>
      </c>
      <c r="F67" s="33">
        <v>34</v>
      </c>
      <c r="G67" s="33"/>
      <c r="H67" s="34">
        <v>48.569000000000003</v>
      </c>
      <c r="I67" s="34">
        <v>1.829</v>
      </c>
      <c r="J67" s="34">
        <v>0.70699999999999996</v>
      </c>
      <c r="K67" s="35">
        <v>15.994481688140899</v>
      </c>
      <c r="L67" s="35">
        <v>16.054665547533101</v>
      </c>
      <c r="M67" s="36">
        <v>63054385.311176501</v>
      </c>
      <c r="N67" s="36">
        <v>65579157.078929</v>
      </c>
      <c r="O67" s="103">
        <f t="shared" si="2"/>
        <v>64316771.19505275</v>
      </c>
      <c r="P67" s="104">
        <f t="shared" si="8"/>
        <v>12863354239.01055</v>
      </c>
      <c r="Q67" s="103">
        <f t="shared" si="9"/>
        <v>264847006.09463957</v>
      </c>
      <c r="R67" s="34">
        <f t="shared" si="5"/>
        <v>8.422995067911879</v>
      </c>
      <c r="S67" s="67"/>
      <c r="T67" s="79"/>
      <c r="U67" s="79"/>
    </row>
    <row r="68" spans="1:21" s="100" customFormat="1" x14ac:dyDescent="0.2">
      <c r="A68" s="33">
        <v>78</v>
      </c>
      <c r="B68" s="105" t="s">
        <v>91</v>
      </c>
      <c r="C68" s="102" t="s">
        <v>15</v>
      </c>
      <c r="D68" s="33">
        <v>11.37</v>
      </c>
      <c r="E68" s="33">
        <v>0.28749999999999998</v>
      </c>
      <c r="F68" s="33">
        <v>33</v>
      </c>
      <c r="G68" s="33" t="s">
        <v>63</v>
      </c>
      <c r="H68" s="34">
        <v>47.988999999999997</v>
      </c>
      <c r="I68" s="34">
        <v>1.746</v>
      </c>
      <c r="J68" s="34">
        <v>0.58499999999999996</v>
      </c>
      <c r="K68" s="35">
        <v>21.393915891262701</v>
      </c>
      <c r="L68" s="35">
        <v>21.1246226032384</v>
      </c>
      <c r="M68" s="36">
        <v>2308653.99570732</v>
      </c>
      <c r="N68" s="36">
        <v>1936716.5444102001</v>
      </c>
      <c r="O68" s="103">
        <f t="shared" ref="O68:O131" si="10">AVERAGE(M68:N68)</f>
        <v>2122685.27005876</v>
      </c>
      <c r="P68" s="104">
        <f t="shared" si="8"/>
        <v>424537054.01175201</v>
      </c>
      <c r="Q68" s="103">
        <f t="shared" si="9"/>
        <v>8846549.2927910984</v>
      </c>
      <c r="R68" s="34">
        <f t="shared" si="5"/>
        <v>6.9467739017328718</v>
      </c>
      <c r="S68" s="67"/>
      <c r="T68" s="79"/>
      <c r="U68" s="79"/>
    </row>
    <row r="69" spans="1:21" s="100" customFormat="1" x14ac:dyDescent="0.2">
      <c r="A69" s="33">
        <v>80</v>
      </c>
      <c r="B69" s="105" t="s">
        <v>91</v>
      </c>
      <c r="C69" s="102" t="s">
        <v>15</v>
      </c>
      <c r="D69" s="33">
        <v>11.11</v>
      </c>
      <c r="E69" s="33">
        <v>0.25119999999999998</v>
      </c>
      <c r="F69" s="33">
        <v>34</v>
      </c>
      <c r="G69" s="33"/>
      <c r="H69" s="34">
        <v>174.94</v>
      </c>
      <c r="I69" s="34">
        <v>1.873</v>
      </c>
      <c r="J69" s="34">
        <v>1.1890000000000001</v>
      </c>
      <c r="K69" s="35">
        <v>12.3944944406655</v>
      </c>
      <c r="L69" s="35">
        <v>12.31</v>
      </c>
      <c r="M69" s="36">
        <v>444158043.42498797</v>
      </c>
      <c r="N69" s="36">
        <v>467576780.03574198</v>
      </c>
      <c r="O69" s="103">
        <f t="shared" si="10"/>
        <v>455867411.73036498</v>
      </c>
      <c r="P69" s="104">
        <f t="shared" si="8"/>
        <v>91173482346.072998</v>
      </c>
      <c r="Q69" s="103">
        <f t="shared" si="9"/>
        <v>521170014.5539785</v>
      </c>
      <c r="R69" s="34">
        <f t="shared" si="5"/>
        <v>8.716979420685286</v>
      </c>
      <c r="S69" s="67"/>
      <c r="T69" s="79"/>
      <c r="U69" s="79"/>
    </row>
    <row r="70" spans="1:21" s="100" customFormat="1" x14ac:dyDescent="0.2">
      <c r="A70" s="33">
        <v>86</v>
      </c>
      <c r="B70" s="105" t="s">
        <v>91</v>
      </c>
      <c r="C70" s="102" t="s">
        <v>27</v>
      </c>
      <c r="D70" s="33">
        <v>10.63</v>
      </c>
      <c r="E70" s="33">
        <v>0.24079999999999999</v>
      </c>
      <c r="F70" s="33">
        <v>35</v>
      </c>
      <c r="G70" s="33"/>
      <c r="H70" s="34">
        <v>62.686</v>
      </c>
      <c r="I70" s="34">
        <v>1.851</v>
      </c>
      <c r="J70" s="34">
        <v>0.86399999999999999</v>
      </c>
      <c r="K70" s="35">
        <v>15.093858614634399</v>
      </c>
      <c r="L70" s="35">
        <v>15.13</v>
      </c>
      <c r="M70" s="36">
        <v>80085130.375355393</v>
      </c>
      <c r="N70" s="36">
        <v>78193844.667661503</v>
      </c>
      <c r="O70" s="103">
        <f t="shared" si="10"/>
        <v>79139487.521508455</v>
      </c>
      <c r="P70" s="104">
        <f t="shared" si="8"/>
        <v>15827897504.301691</v>
      </c>
      <c r="Q70" s="103">
        <f t="shared" si="9"/>
        <v>252494935.14184493</v>
      </c>
      <c r="R70" s="34">
        <f t="shared" si="5"/>
        <v>8.4022526709219676</v>
      </c>
      <c r="S70" s="67"/>
      <c r="T70" s="79"/>
      <c r="U70" s="79"/>
    </row>
    <row r="71" spans="1:21" s="100" customFormat="1" x14ac:dyDescent="0.2">
      <c r="A71" s="33">
        <v>116</v>
      </c>
      <c r="B71" s="105" t="s">
        <v>91</v>
      </c>
      <c r="C71" s="102" t="s">
        <v>28</v>
      </c>
      <c r="D71" s="33">
        <v>10.62</v>
      </c>
      <c r="E71" s="33">
        <v>0.27039999999999997</v>
      </c>
      <c r="F71" s="33">
        <v>35</v>
      </c>
      <c r="G71" s="33" t="s">
        <v>63</v>
      </c>
      <c r="H71" s="34">
        <v>24.754000000000001</v>
      </c>
      <c r="I71" s="34">
        <v>1.8560000000000001</v>
      </c>
      <c r="J71" s="34">
        <v>0.57999999999999996</v>
      </c>
      <c r="K71" s="35">
        <v>17.961801678079301</v>
      </c>
      <c r="L71" s="35">
        <v>17.77</v>
      </c>
      <c r="M71" s="36">
        <v>12974879.934403099</v>
      </c>
      <c r="N71" s="36">
        <v>14690499.314918</v>
      </c>
      <c r="O71" s="103">
        <f t="shared" si="10"/>
        <v>13832689.62466055</v>
      </c>
      <c r="P71" s="104">
        <f t="shared" si="8"/>
        <v>2766537924.9321098</v>
      </c>
      <c r="Q71" s="103">
        <f t="shared" si="9"/>
        <v>111761247.67440049</v>
      </c>
      <c r="R71" s="34">
        <f t="shared" si="5"/>
        <v>8.0482912414873233</v>
      </c>
      <c r="S71" s="67"/>
      <c r="T71" s="79"/>
      <c r="U71" s="79"/>
    </row>
    <row r="72" spans="1:21" s="100" customFormat="1" x14ac:dyDescent="0.2">
      <c r="A72" s="33">
        <v>131</v>
      </c>
      <c r="B72" s="105" t="s">
        <v>91</v>
      </c>
      <c r="C72" s="102" t="s">
        <v>10</v>
      </c>
      <c r="D72" s="33">
        <v>11.3</v>
      </c>
      <c r="E72" s="33">
        <v>0.33160000000000001</v>
      </c>
      <c r="F72" s="33">
        <v>35</v>
      </c>
      <c r="G72" s="33"/>
      <c r="H72" s="34">
        <v>56.648000000000003</v>
      </c>
      <c r="I72" s="34">
        <v>1.919</v>
      </c>
      <c r="J72" s="34">
        <v>0.79800000000000004</v>
      </c>
      <c r="K72" s="35">
        <v>19.644555198933201</v>
      </c>
      <c r="L72" s="35">
        <v>19.7</v>
      </c>
      <c r="M72" s="36">
        <v>4459754.9319437901</v>
      </c>
      <c r="N72" s="36">
        <v>4302922.8370619202</v>
      </c>
      <c r="O72" s="103">
        <f t="shared" si="10"/>
        <v>4381338.8845028551</v>
      </c>
      <c r="P72" s="104">
        <f t="shared" si="8"/>
        <v>876267776.90057099</v>
      </c>
      <c r="Q72" s="103">
        <f t="shared" si="9"/>
        <v>15468644.55762906</v>
      </c>
      <c r="R72" s="34">
        <f t="shared" si="5"/>
        <v>7.1894522602454405</v>
      </c>
      <c r="S72" s="67"/>
      <c r="T72" s="79"/>
      <c r="U72" s="79"/>
    </row>
    <row r="73" spans="1:21" s="100" customFormat="1" x14ac:dyDescent="0.2">
      <c r="A73" s="33">
        <v>168</v>
      </c>
      <c r="B73" s="105" t="s">
        <v>91</v>
      </c>
      <c r="C73" s="102" t="s">
        <v>22</v>
      </c>
      <c r="D73" s="33">
        <v>11.03</v>
      </c>
      <c r="E73" s="33">
        <v>0.34360000000000002</v>
      </c>
      <c r="F73" s="33">
        <v>36</v>
      </c>
      <c r="G73" s="33"/>
      <c r="H73" s="34">
        <v>122.096</v>
      </c>
      <c r="I73" s="34">
        <v>2.0049999999999999</v>
      </c>
      <c r="J73" s="34">
        <v>1.1890000000000001</v>
      </c>
      <c r="K73" s="35">
        <v>15.5767382366042</v>
      </c>
      <c r="L73" s="35">
        <v>15.984466798692701</v>
      </c>
      <c r="M73" s="36">
        <v>58947168.742734604</v>
      </c>
      <c r="N73" s="36">
        <v>45507898.880390301</v>
      </c>
      <c r="O73" s="103">
        <f t="shared" si="10"/>
        <v>52227533.811562449</v>
      </c>
      <c r="P73" s="104">
        <f t="shared" si="8"/>
        <v>10445506762.31249</v>
      </c>
      <c r="Q73" s="103">
        <f t="shared" si="9"/>
        <v>85551588.604970604</v>
      </c>
      <c r="R73" s="34">
        <f t="shared" si="5"/>
        <v>7.9322280783536483</v>
      </c>
      <c r="S73" s="67"/>
    </row>
    <row r="74" spans="1:21" s="100" customFormat="1" x14ac:dyDescent="0.2">
      <c r="A74" s="33">
        <v>173</v>
      </c>
      <c r="B74" s="105" t="s">
        <v>91</v>
      </c>
      <c r="C74" s="102" t="s">
        <v>15</v>
      </c>
      <c r="D74" s="33">
        <v>10.58</v>
      </c>
      <c r="E74" s="33">
        <v>0.24199999999999999</v>
      </c>
      <c r="F74" s="33">
        <v>35</v>
      </c>
      <c r="G74" s="33"/>
      <c r="H74" s="34">
        <v>105.258</v>
      </c>
      <c r="I74" s="34">
        <v>1.883</v>
      </c>
      <c r="J74" s="34">
        <v>0.96899999999999997</v>
      </c>
      <c r="K74" s="35">
        <v>16.0535828795039</v>
      </c>
      <c r="L74" s="35">
        <v>16.081568551089301</v>
      </c>
      <c r="M74" s="36">
        <v>43554932.584815398</v>
      </c>
      <c r="N74" s="36">
        <v>42788205.306870103</v>
      </c>
      <c r="O74" s="103">
        <f t="shared" si="10"/>
        <v>43171568.94584275</v>
      </c>
      <c r="P74" s="104">
        <f t="shared" si="8"/>
        <v>8634313789.1685505</v>
      </c>
      <c r="Q74" s="103">
        <f t="shared" si="9"/>
        <v>82030000.467124119</v>
      </c>
      <c r="R74" s="34">
        <f t="shared" si="5"/>
        <v>7.9139727140240836</v>
      </c>
      <c r="S74" s="67"/>
    </row>
    <row r="75" spans="1:21" s="100" customFormat="1" x14ac:dyDescent="0.2">
      <c r="A75" s="33">
        <v>190</v>
      </c>
      <c r="B75" s="105" t="s">
        <v>91</v>
      </c>
      <c r="C75" s="102" t="s">
        <v>29</v>
      </c>
      <c r="D75" s="33">
        <v>8.5500000000000007</v>
      </c>
      <c r="E75" s="33">
        <v>0.1527</v>
      </c>
      <c r="F75" s="33">
        <v>30</v>
      </c>
      <c r="G75" s="33"/>
      <c r="H75" s="34">
        <v>59.703000000000003</v>
      </c>
      <c r="I75" s="34">
        <v>1.968</v>
      </c>
      <c r="J75" s="34">
        <v>1.0629999999999999</v>
      </c>
      <c r="K75" s="35">
        <v>14.2301917647093</v>
      </c>
      <c r="L75" s="35">
        <v>14.577169969196801</v>
      </c>
      <c r="M75" s="36">
        <v>138545221.00676301</v>
      </c>
      <c r="N75" s="36">
        <v>111162703.951052</v>
      </c>
      <c r="O75" s="103">
        <f t="shared" si="10"/>
        <v>124853962.4789075</v>
      </c>
      <c r="P75" s="104">
        <f t="shared" si="8"/>
        <v>24970792495.781498</v>
      </c>
      <c r="Q75" s="103">
        <f t="shared" si="9"/>
        <v>418250213.48644954</v>
      </c>
      <c r="R75" s="34">
        <f t="shared" si="5"/>
        <v>8.6214361713103749</v>
      </c>
      <c r="S75" s="67"/>
    </row>
    <row r="76" spans="1:21" s="100" customFormat="1" x14ac:dyDescent="0.2">
      <c r="A76" s="33">
        <v>192</v>
      </c>
      <c r="B76" s="105" t="s">
        <v>91</v>
      </c>
      <c r="C76" s="102" t="s">
        <v>21</v>
      </c>
      <c r="D76" s="33">
        <v>9.15</v>
      </c>
      <c r="E76" s="33">
        <v>0.13600000000000001</v>
      </c>
      <c r="F76" s="33">
        <v>31</v>
      </c>
      <c r="G76" s="33"/>
      <c r="H76" s="34">
        <v>86.198999999999998</v>
      </c>
      <c r="I76" s="34">
        <v>1.948</v>
      </c>
      <c r="J76" s="34">
        <v>1.1080000000000001</v>
      </c>
      <c r="K76" s="35">
        <v>13.3288343102439</v>
      </c>
      <c r="L76" s="35">
        <v>13.4172820791273</v>
      </c>
      <c r="M76" s="36">
        <v>245481808.429609</v>
      </c>
      <c r="N76" s="36">
        <v>232082166.23936301</v>
      </c>
      <c r="O76" s="103">
        <f t="shared" si="10"/>
        <v>238781987.33448601</v>
      </c>
      <c r="P76" s="104">
        <f t="shared" si="8"/>
        <v>47756397466.897202</v>
      </c>
      <c r="Q76" s="103">
        <f t="shared" si="9"/>
        <v>554024959.30227959</v>
      </c>
      <c r="R76" s="34">
        <f t="shared" si="5"/>
        <v>8.743529330510162</v>
      </c>
      <c r="S76" s="67"/>
    </row>
    <row r="77" spans="1:21" s="100" customFormat="1" x14ac:dyDescent="0.2">
      <c r="A77" s="33">
        <v>248</v>
      </c>
      <c r="B77" s="105" t="s">
        <v>91</v>
      </c>
      <c r="C77" s="102" t="s">
        <v>18</v>
      </c>
      <c r="D77" s="33">
        <v>11.08</v>
      </c>
      <c r="E77" s="33">
        <v>0.24540000000000001</v>
      </c>
      <c r="F77" s="33">
        <v>35</v>
      </c>
      <c r="G77" s="33"/>
      <c r="H77" s="34">
        <v>148.00200000000001</v>
      </c>
      <c r="I77" s="34">
        <v>1.8640000000000001</v>
      </c>
      <c r="J77" s="34">
        <v>0.91800000000000004</v>
      </c>
      <c r="K77" s="35">
        <v>11.227712986456201</v>
      </c>
      <c r="L77" s="35">
        <v>12.4184275036824</v>
      </c>
      <c r="M77" s="36">
        <v>931365548.807042</v>
      </c>
      <c r="N77" s="36">
        <v>437462889.01423299</v>
      </c>
      <c r="O77" s="103">
        <f t="shared" si="10"/>
        <v>684414218.9106375</v>
      </c>
      <c r="P77" s="104">
        <f t="shared" si="8"/>
        <v>136882843782.1275</v>
      </c>
      <c r="Q77" s="103">
        <f t="shared" si="9"/>
        <v>924871581.34435678</v>
      </c>
      <c r="R77" s="34">
        <f t="shared" si="5"/>
        <v>8.9660814350252114</v>
      </c>
      <c r="S77" s="67"/>
    </row>
    <row r="78" spans="1:21" s="100" customFormat="1" x14ac:dyDescent="0.2">
      <c r="A78" s="33">
        <v>268</v>
      </c>
      <c r="B78" s="105" t="s">
        <v>91</v>
      </c>
      <c r="C78" s="102" t="s">
        <v>16</v>
      </c>
      <c r="D78" s="33">
        <v>10.6</v>
      </c>
      <c r="E78" s="33">
        <v>0.2777</v>
      </c>
      <c r="F78" s="33">
        <v>31</v>
      </c>
      <c r="G78" s="33"/>
      <c r="H78" s="34">
        <v>25.666</v>
      </c>
      <c r="I78" s="34">
        <v>1.804</v>
      </c>
      <c r="J78" s="34">
        <v>0.44400000000000001</v>
      </c>
      <c r="K78" s="35">
        <v>19.1841706882532</v>
      </c>
      <c r="L78" s="35">
        <v>19.371345418137601</v>
      </c>
      <c r="M78" s="36">
        <v>5973102.0879713204</v>
      </c>
      <c r="N78" s="36">
        <v>5304100.5377738904</v>
      </c>
      <c r="O78" s="103">
        <f t="shared" si="10"/>
        <v>5638601.3128726054</v>
      </c>
      <c r="P78" s="104">
        <f t="shared" si="8"/>
        <v>1127720262.5745211</v>
      </c>
      <c r="Q78" s="103">
        <f t="shared" si="9"/>
        <v>43938294.341717489</v>
      </c>
      <c r="R78" s="34">
        <f t="shared" si="5"/>
        <v>7.6428431938599166</v>
      </c>
    </row>
    <row r="79" spans="1:21" s="100" customFormat="1" x14ac:dyDescent="0.2">
      <c r="A79" s="33">
        <v>269</v>
      </c>
      <c r="B79" s="105" t="s">
        <v>91</v>
      </c>
      <c r="C79" s="102" t="s">
        <v>27</v>
      </c>
      <c r="D79" s="33">
        <v>10.32</v>
      </c>
      <c r="E79" s="33">
        <v>0.27389999999999998</v>
      </c>
      <c r="F79" s="33">
        <v>33</v>
      </c>
      <c r="G79" s="33"/>
      <c r="H79" s="34">
        <v>117.318</v>
      </c>
      <c r="I79" s="34">
        <v>1.923</v>
      </c>
      <c r="J79" s="34">
        <v>1.0880000000000001</v>
      </c>
      <c r="K79" s="35">
        <v>13.5978936184445</v>
      </c>
      <c r="L79" s="35">
        <v>13.8844720174198</v>
      </c>
      <c r="M79" s="36">
        <v>206948600.66124001</v>
      </c>
      <c r="N79" s="36">
        <v>172534975.91480699</v>
      </c>
      <c r="O79" s="103">
        <f t="shared" si="10"/>
        <v>189741788.2880235</v>
      </c>
      <c r="P79" s="104">
        <f t="shared" si="8"/>
        <v>37948357657.604698</v>
      </c>
      <c r="Q79" s="103">
        <f t="shared" si="9"/>
        <v>323465773.85912389</v>
      </c>
      <c r="R79" s="34">
        <f t="shared" si="5"/>
        <v>8.5098283344313383</v>
      </c>
    </row>
    <row r="80" spans="1:21" s="100" customFormat="1" ht="15.75" customHeight="1" x14ac:dyDescent="0.2">
      <c r="A80" s="7">
        <v>24</v>
      </c>
      <c r="B80" s="7" t="s">
        <v>92</v>
      </c>
      <c r="C80" s="106" t="s">
        <v>29</v>
      </c>
      <c r="D80" s="7">
        <v>11.08</v>
      </c>
      <c r="E80" s="7">
        <v>0.2268</v>
      </c>
      <c r="F80" s="7">
        <v>35</v>
      </c>
      <c r="G80" s="7"/>
      <c r="H80" s="8">
        <v>105.742</v>
      </c>
      <c r="I80" s="8">
        <v>1.958</v>
      </c>
      <c r="J80" s="8">
        <v>1.0629999999999999</v>
      </c>
      <c r="K80" s="8">
        <v>13.53</v>
      </c>
      <c r="L80" s="9">
        <v>13.2969923970598</v>
      </c>
      <c r="M80" s="10">
        <v>216287375.02522901</v>
      </c>
      <c r="N80" s="10">
        <v>250492903.92175099</v>
      </c>
      <c r="O80" s="107">
        <f t="shared" si="10"/>
        <v>233390139.47349</v>
      </c>
      <c r="P80" s="108">
        <f t="shared" si="8"/>
        <v>46678027894.697998</v>
      </c>
      <c r="Q80" s="109">
        <f t="shared" si="9"/>
        <v>441433185.43906862</v>
      </c>
      <c r="R80" s="8">
        <f>LOG(Q80)</f>
        <v>8.6448649788286307</v>
      </c>
      <c r="T80" s="67"/>
      <c r="U80" s="110"/>
    </row>
    <row r="81" spans="1:21" s="100" customFormat="1" ht="15.75" customHeight="1" x14ac:dyDescent="0.2">
      <c r="A81" s="7">
        <v>37</v>
      </c>
      <c r="B81" s="111" t="s">
        <v>92</v>
      </c>
      <c r="C81" s="106" t="s">
        <v>24</v>
      </c>
      <c r="D81" s="7">
        <v>10.56</v>
      </c>
      <c r="E81" s="7">
        <v>0.2079</v>
      </c>
      <c r="F81" s="7">
        <v>31</v>
      </c>
      <c r="G81" s="7" t="s">
        <v>63</v>
      </c>
      <c r="H81" s="8">
        <v>8.0969999999999995</v>
      </c>
      <c r="I81" s="8">
        <v>2.1</v>
      </c>
      <c r="J81" s="8">
        <v>0.27400000000000002</v>
      </c>
      <c r="K81" s="8">
        <v>24.69</v>
      </c>
      <c r="L81" s="9">
        <v>24.9062140552575</v>
      </c>
      <c r="M81" s="10">
        <v>225354.39095558799</v>
      </c>
      <c r="N81" s="10">
        <v>195887.144414749</v>
      </c>
      <c r="O81" s="107">
        <f t="shared" si="10"/>
        <v>210620.76768516848</v>
      </c>
      <c r="P81" s="108">
        <f t="shared" si="8"/>
        <v>42124153.537033699</v>
      </c>
      <c r="Q81" s="109">
        <f t="shared" si="9"/>
        <v>5202439.6118357051</v>
      </c>
      <c r="R81" s="8">
        <f>LOG(Q81)</f>
        <v>6.7162070477690587</v>
      </c>
      <c r="T81" s="67"/>
      <c r="U81" s="110"/>
    </row>
    <row r="82" spans="1:21" s="100" customFormat="1" ht="15.75" customHeight="1" x14ac:dyDescent="0.2">
      <c r="A82" s="7">
        <v>52</v>
      </c>
      <c r="B82" s="111" t="s">
        <v>92</v>
      </c>
      <c r="C82" s="106" t="s">
        <v>10</v>
      </c>
      <c r="D82" s="7">
        <v>9.7799999999999994</v>
      </c>
      <c r="E82" s="7">
        <v>0.17150000000000001</v>
      </c>
      <c r="F82" s="7">
        <v>32</v>
      </c>
      <c r="G82" s="7"/>
      <c r="H82" s="8">
        <v>90.350999999999999</v>
      </c>
      <c r="I82" s="8">
        <v>1.9379999999999999</v>
      </c>
      <c r="J82" s="8">
        <v>1.137</v>
      </c>
      <c r="K82" s="9">
        <v>12.399005836181599</v>
      </c>
      <c r="L82" s="9">
        <v>12.670717467683099</v>
      </c>
      <c r="M82" s="10">
        <v>442888213.24852198</v>
      </c>
      <c r="N82" s="10">
        <v>372740241.33573103</v>
      </c>
      <c r="O82" s="107">
        <f t="shared" si="10"/>
        <v>407814227.29212654</v>
      </c>
      <c r="P82" s="108">
        <f t="shared" si="8"/>
        <v>81562845458.425308</v>
      </c>
      <c r="Q82" s="109">
        <f t="shared" si="9"/>
        <v>902733179.02873576</v>
      </c>
      <c r="R82" s="8">
        <f t="shared" ref="R82:R139" si="11">LOG(Q82)</f>
        <v>8.9555594047997111</v>
      </c>
      <c r="T82" s="67"/>
      <c r="U82" s="110"/>
    </row>
    <row r="83" spans="1:21" s="100" customFormat="1" ht="15.75" customHeight="1" x14ac:dyDescent="0.2">
      <c r="A83" s="112">
        <v>69</v>
      </c>
      <c r="B83" s="113" t="s">
        <v>92</v>
      </c>
      <c r="C83" s="114" t="s">
        <v>10</v>
      </c>
      <c r="D83" s="146" t="s">
        <v>93</v>
      </c>
      <c r="E83" s="146"/>
      <c r="F83" s="146"/>
      <c r="G83" s="147"/>
      <c r="H83" s="31"/>
      <c r="I83" s="31"/>
      <c r="J83" s="31"/>
      <c r="K83" s="31"/>
      <c r="L83" s="31"/>
      <c r="M83" s="32"/>
      <c r="N83" s="32"/>
      <c r="O83" s="71" t="e">
        <f t="shared" si="10"/>
        <v>#DIV/0!</v>
      </c>
      <c r="P83" s="93" t="e">
        <f t="shared" si="8"/>
        <v>#DIV/0!</v>
      </c>
      <c r="Q83" s="72" t="e">
        <f t="shared" si="9"/>
        <v>#DIV/0!</v>
      </c>
      <c r="R83" s="31"/>
      <c r="T83" s="67"/>
      <c r="U83" s="110"/>
    </row>
    <row r="84" spans="1:21" s="100" customFormat="1" ht="15.75" customHeight="1" x14ac:dyDescent="0.2">
      <c r="A84" s="7">
        <v>76</v>
      </c>
      <c r="B84" s="111" t="s">
        <v>92</v>
      </c>
      <c r="C84" s="106" t="s">
        <v>25</v>
      </c>
      <c r="D84" s="7">
        <v>11.84</v>
      </c>
      <c r="E84" s="7">
        <v>0.25969999999999999</v>
      </c>
      <c r="F84" s="7">
        <v>35</v>
      </c>
      <c r="G84" s="7"/>
      <c r="H84" s="8">
        <v>14.374000000000001</v>
      </c>
      <c r="I84" s="8">
        <v>1.7250000000000001</v>
      </c>
      <c r="J84" s="8">
        <v>0.38400000000000001</v>
      </c>
      <c r="K84" s="9">
        <v>22.146340834106599</v>
      </c>
      <c r="L84" s="9">
        <v>21.9020666249376</v>
      </c>
      <c r="M84" s="10">
        <v>1185491.63547823</v>
      </c>
      <c r="N84" s="10">
        <v>1390282.9276506701</v>
      </c>
      <c r="O84" s="107">
        <f t="shared" si="10"/>
        <v>1287887.2815644499</v>
      </c>
      <c r="P84" s="108">
        <f t="shared" si="8"/>
        <v>257577456.31288999</v>
      </c>
      <c r="Q84" s="109">
        <f t="shared" si="9"/>
        <v>17919678.329823986</v>
      </c>
      <c r="R84" s="8">
        <f>LN(Q84)</f>
        <v>16.701410015005305</v>
      </c>
      <c r="T84" s="67"/>
      <c r="U84" s="110"/>
    </row>
    <row r="85" spans="1:21" s="100" customFormat="1" ht="15.75" customHeight="1" x14ac:dyDescent="0.2">
      <c r="A85" s="7">
        <v>133</v>
      </c>
      <c r="B85" s="111" t="s">
        <v>92</v>
      </c>
      <c r="C85" s="106" t="s">
        <v>8</v>
      </c>
      <c r="D85" s="7">
        <v>10.4</v>
      </c>
      <c r="E85" s="7">
        <v>0.20749999999999999</v>
      </c>
      <c r="F85" s="7">
        <v>33</v>
      </c>
      <c r="G85" s="7"/>
      <c r="H85" s="8">
        <v>51.543999999999997</v>
      </c>
      <c r="I85" s="8">
        <v>1.907</v>
      </c>
      <c r="J85" s="8">
        <v>0.67800000000000005</v>
      </c>
      <c r="K85" s="9">
        <v>19.53</v>
      </c>
      <c r="L85" s="9">
        <v>19.2026835814045</v>
      </c>
      <c r="M85" s="10">
        <v>4797248.3465725305</v>
      </c>
      <c r="N85" s="10">
        <v>5903336.0150206303</v>
      </c>
      <c r="O85" s="107">
        <f t="shared" si="10"/>
        <v>5350292.1807965804</v>
      </c>
      <c r="P85" s="108">
        <f t="shared" si="8"/>
        <v>1070058436.1593161</v>
      </c>
      <c r="Q85" s="109">
        <f t="shared" si="9"/>
        <v>20760096.929988284</v>
      </c>
      <c r="R85" s="8">
        <f t="shared" si="11"/>
        <v>7.3172293769250123</v>
      </c>
      <c r="T85" s="67"/>
      <c r="U85" s="110"/>
    </row>
    <row r="86" spans="1:21" s="100" customFormat="1" ht="15.75" customHeight="1" x14ac:dyDescent="0.2">
      <c r="A86" s="7">
        <v>136</v>
      </c>
      <c r="B86" s="111" t="s">
        <v>92</v>
      </c>
      <c r="C86" s="106" t="s">
        <v>21</v>
      </c>
      <c r="D86" s="7">
        <v>10.37</v>
      </c>
      <c r="E86" s="7">
        <v>0.224</v>
      </c>
      <c r="F86" s="7">
        <v>33</v>
      </c>
      <c r="G86" s="7"/>
      <c r="H86" s="8">
        <v>43.603999999999999</v>
      </c>
      <c r="I86" s="8">
        <v>1.909</v>
      </c>
      <c r="J86" s="8">
        <v>0.71599999999999997</v>
      </c>
      <c r="K86" s="9">
        <v>15.74</v>
      </c>
      <c r="L86" s="9">
        <v>15.8154908740711</v>
      </c>
      <c r="M86" s="10">
        <v>53048054.342025302</v>
      </c>
      <c r="N86" s="10">
        <v>50659291.091315404</v>
      </c>
      <c r="O86" s="107">
        <f t="shared" si="10"/>
        <v>51853672.716670349</v>
      </c>
      <c r="P86" s="108">
        <f t="shared" si="8"/>
        <v>10370734543.33407</v>
      </c>
      <c r="Q86" s="109">
        <f t="shared" si="9"/>
        <v>237839063.92381594</v>
      </c>
      <c r="R86" s="8">
        <f t="shared" si="11"/>
        <v>8.3762831869237502</v>
      </c>
      <c r="T86" s="67"/>
      <c r="U86" s="110"/>
    </row>
    <row r="87" spans="1:21" s="100" customFormat="1" ht="15.75" customHeight="1" x14ac:dyDescent="0.2">
      <c r="A87" s="7">
        <v>157</v>
      </c>
      <c r="B87" s="111" t="s">
        <v>92</v>
      </c>
      <c r="C87" s="106" t="s">
        <v>30</v>
      </c>
      <c r="D87" s="7">
        <v>11.06</v>
      </c>
      <c r="E87" s="7">
        <v>0.23039999999999999</v>
      </c>
      <c r="F87" s="7">
        <v>34</v>
      </c>
      <c r="G87" s="7"/>
      <c r="H87" s="8">
        <v>84.768000000000001</v>
      </c>
      <c r="I87" s="8">
        <v>2.0230000000000001</v>
      </c>
      <c r="J87" s="8">
        <v>1.113</v>
      </c>
      <c r="K87" s="9">
        <v>16.62</v>
      </c>
      <c r="L87" s="9">
        <v>16.683794536999201</v>
      </c>
      <c r="M87" s="10">
        <v>30343899.153034098</v>
      </c>
      <c r="N87" s="10">
        <v>29197217.790357102</v>
      </c>
      <c r="O87" s="107">
        <f t="shared" si="10"/>
        <v>29770558.471695602</v>
      </c>
      <c r="P87" s="108">
        <f t="shared" si="8"/>
        <v>5954111694.3391209</v>
      </c>
      <c r="Q87" s="109">
        <f t="shared" si="9"/>
        <v>70240086.994374305</v>
      </c>
      <c r="R87" s="8">
        <f t="shared" si="11"/>
        <v>7.8465850407846256</v>
      </c>
      <c r="T87" s="67"/>
      <c r="U87" s="110"/>
    </row>
    <row r="88" spans="1:21" s="100" customFormat="1" ht="15.75" customHeight="1" x14ac:dyDescent="0.2">
      <c r="A88" s="7">
        <v>165</v>
      </c>
      <c r="B88" s="111" t="s">
        <v>92</v>
      </c>
      <c r="C88" s="106" t="s">
        <v>25</v>
      </c>
      <c r="D88" s="7">
        <v>10.63</v>
      </c>
      <c r="E88" s="7">
        <v>0.2394</v>
      </c>
      <c r="F88" s="7">
        <v>35</v>
      </c>
      <c r="G88" s="7"/>
      <c r="H88" s="8">
        <v>90.566999999999993</v>
      </c>
      <c r="I88" s="8">
        <v>1.9550000000000001</v>
      </c>
      <c r="J88" s="8">
        <v>1.1559999999999999</v>
      </c>
      <c r="K88" s="9">
        <v>13.7446085057757</v>
      </c>
      <c r="L88" s="9">
        <v>13.95</v>
      </c>
      <c r="M88" s="10">
        <v>376405697.78321201</v>
      </c>
      <c r="N88" s="10">
        <v>380478645.43671</v>
      </c>
      <c r="O88" s="107">
        <f t="shared" si="10"/>
        <v>378442171.60996103</v>
      </c>
      <c r="P88" s="108">
        <f t="shared" si="8"/>
        <v>75688434321.992203</v>
      </c>
      <c r="Q88" s="109">
        <f t="shared" si="9"/>
        <v>835717582.80601335</v>
      </c>
      <c r="R88" s="8">
        <f t="shared" si="11"/>
        <v>8.9220595394596209</v>
      </c>
      <c r="T88" s="67"/>
      <c r="U88" s="110"/>
    </row>
    <row r="89" spans="1:21" s="100" customFormat="1" ht="15.75" customHeight="1" x14ac:dyDescent="0.2">
      <c r="A89" s="7">
        <v>181</v>
      </c>
      <c r="B89" s="111" t="s">
        <v>92</v>
      </c>
      <c r="C89" s="106" t="s">
        <v>10</v>
      </c>
      <c r="D89" s="7">
        <v>9.4499999999999993</v>
      </c>
      <c r="E89" s="7">
        <v>0.1714</v>
      </c>
      <c r="F89" s="7">
        <v>34</v>
      </c>
      <c r="G89" s="7"/>
      <c r="H89" s="8">
        <v>81.903999999999996</v>
      </c>
      <c r="I89" s="8">
        <v>2.0699999999999998</v>
      </c>
      <c r="J89" s="8">
        <v>1.2430000000000001</v>
      </c>
      <c r="K89" s="9">
        <v>15.222599566513599</v>
      </c>
      <c r="L89" s="9">
        <v>15.26</v>
      </c>
      <c r="M89" s="10">
        <v>125351185.258275</v>
      </c>
      <c r="N89" s="10">
        <v>134946522.56772199</v>
      </c>
      <c r="O89" s="107">
        <f t="shared" si="10"/>
        <v>130148853.9129985</v>
      </c>
      <c r="P89" s="108">
        <f t="shared" si="8"/>
        <v>26029770782.599701</v>
      </c>
      <c r="Q89" s="109">
        <f t="shared" si="9"/>
        <v>317808297.3065992</v>
      </c>
      <c r="R89" s="8">
        <f t="shared" si="11"/>
        <v>8.5021652315353968</v>
      </c>
      <c r="S89" s="67"/>
    </row>
    <row r="90" spans="1:21" s="100" customFormat="1" ht="15.75" customHeight="1" x14ac:dyDescent="0.2">
      <c r="A90" s="7">
        <v>210</v>
      </c>
      <c r="B90" s="111" t="s">
        <v>92</v>
      </c>
      <c r="C90" s="106" t="s">
        <v>19</v>
      </c>
      <c r="D90" s="7">
        <v>11.18</v>
      </c>
      <c r="E90" s="7">
        <v>0.28060000000000002</v>
      </c>
      <c r="F90" s="7">
        <v>35</v>
      </c>
      <c r="G90" s="7"/>
      <c r="H90" s="8">
        <v>160.21100000000001</v>
      </c>
      <c r="I90" s="8">
        <v>1.9830000000000001</v>
      </c>
      <c r="J90" s="8">
        <v>1.5269999999999999</v>
      </c>
      <c r="K90" s="9">
        <v>13.3318526305116</v>
      </c>
      <c r="L90" s="9">
        <v>13.01</v>
      </c>
      <c r="M90" s="10">
        <v>463930722.485825</v>
      </c>
      <c r="N90" s="10">
        <v>293602080.25318402</v>
      </c>
      <c r="O90" s="107">
        <f t="shared" si="10"/>
        <v>378766401.36950451</v>
      </c>
      <c r="P90" s="108">
        <f t="shared" si="8"/>
        <v>75753280273.900909</v>
      </c>
      <c r="Q90" s="109">
        <f t="shared" si="9"/>
        <v>472834451.27925611</v>
      </c>
      <c r="R90" s="8">
        <f t="shared" si="11"/>
        <v>8.6747091122373856</v>
      </c>
      <c r="S90" s="67"/>
    </row>
    <row r="91" spans="1:21" s="100" customFormat="1" ht="15.75" customHeight="1" x14ac:dyDescent="0.2">
      <c r="A91" s="7">
        <v>220</v>
      </c>
      <c r="B91" s="111" t="s">
        <v>92</v>
      </c>
      <c r="C91" s="106" t="s">
        <v>23</v>
      </c>
      <c r="D91" s="7">
        <v>7.02</v>
      </c>
      <c r="E91" s="7">
        <v>8.0199999999999994E-2</v>
      </c>
      <c r="F91" s="7">
        <v>28</v>
      </c>
      <c r="G91" s="7"/>
      <c r="H91" s="8">
        <v>32.883000000000003</v>
      </c>
      <c r="I91" s="8">
        <v>1.8859999999999999</v>
      </c>
      <c r="J91" s="8">
        <v>0.82499999999999996</v>
      </c>
      <c r="K91" s="8"/>
      <c r="L91" s="8"/>
      <c r="M91" s="10">
        <v>69730609.7585776</v>
      </c>
      <c r="N91" s="10">
        <v>90619963.890320003</v>
      </c>
      <c r="O91" s="107">
        <f t="shared" si="10"/>
        <v>80175286.824448794</v>
      </c>
      <c r="P91" s="108">
        <f t="shared" si="8"/>
        <v>16035057364.889759</v>
      </c>
      <c r="Q91" s="109">
        <f t="shared" si="9"/>
        <v>487639733.74965054</v>
      </c>
      <c r="R91" s="8">
        <f t="shared" si="11"/>
        <v>8.6880990854721212</v>
      </c>
      <c r="S91" s="67"/>
    </row>
    <row r="92" spans="1:21" s="100" customFormat="1" ht="15.75" customHeight="1" x14ac:dyDescent="0.2">
      <c r="A92" s="7">
        <v>229</v>
      </c>
      <c r="B92" s="111" t="s">
        <v>92</v>
      </c>
      <c r="C92" s="106" t="s">
        <v>28</v>
      </c>
      <c r="D92" s="7">
        <v>9.5</v>
      </c>
      <c r="E92" s="7">
        <v>0.1938</v>
      </c>
      <c r="F92" s="7">
        <v>35</v>
      </c>
      <c r="G92" s="7"/>
      <c r="H92" s="8">
        <v>94.783000000000001</v>
      </c>
      <c r="I92" s="8">
        <v>1.9570000000000001</v>
      </c>
      <c r="J92" s="8">
        <v>1.218</v>
      </c>
      <c r="K92" s="9">
        <v>12.6473702676575</v>
      </c>
      <c r="L92" s="9">
        <v>12.800429079672901</v>
      </c>
      <c r="M92" s="10">
        <v>634948747.78487003</v>
      </c>
      <c r="N92" s="10">
        <v>567884750.76405394</v>
      </c>
      <c r="O92" s="107">
        <f t="shared" si="10"/>
        <v>601416749.27446198</v>
      </c>
      <c r="P92" s="108">
        <f t="shared" si="8"/>
        <v>120283349854.8924</v>
      </c>
      <c r="Q92" s="109">
        <f t="shared" si="9"/>
        <v>1269039277.664691</v>
      </c>
      <c r="R92" s="8">
        <f t="shared" si="11"/>
        <v>9.1034750640246145</v>
      </c>
      <c r="S92" s="67"/>
    </row>
    <row r="93" spans="1:21" s="100" customFormat="1" ht="15.75" customHeight="1" x14ac:dyDescent="0.2">
      <c r="A93" s="7">
        <v>232</v>
      </c>
      <c r="B93" s="111" t="s">
        <v>92</v>
      </c>
      <c r="C93" s="106" t="s">
        <v>31</v>
      </c>
      <c r="D93" s="7">
        <v>9.4499999999999993</v>
      </c>
      <c r="E93" s="7">
        <v>0.20180000000000001</v>
      </c>
      <c r="F93" s="7">
        <v>35</v>
      </c>
      <c r="G93" s="7"/>
      <c r="H93" s="8">
        <v>161.625</v>
      </c>
      <c r="I93" s="8">
        <v>1.9159999999999999</v>
      </c>
      <c r="J93" s="8">
        <v>1.3009999999999999</v>
      </c>
      <c r="K93" s="9">
        <v>12.043558758056299</v>
      </c>
      <c r="L93" s="9">
        <v>12.1464236526314</v>
      </c>
      <c r="M93" s="10">
        <v>752580629.32457197</v>
      </c>
      <c r="N93" s="10">
        <v>750464153.434569</v>
      </c>
      <c r="O93" s="107">
        <f t="shared" si="10"/>
        <v>751522391.37957048</v>
      </c>
      <c r="P93" s="108">
        <f t="shared" si="8"/>
        <v>150304478275.91409</v>
      </c>
      <c r="Q93" s="109">
        <f t="shared" si="9"/>
        <v>929958102.24850178</v>
      </c>
      <c r="R93" s="8">
        <f t="shared" si="11"/>
        <v>8.9684633825623568</v>
      </c>
      <c r="S93" s="67"/>
    </row>
    <row r="94" spans="1:21" s="100" customFormat="1" ht="15.75" customHeight="1" x14ac:dyDescent="0.2">
      <c r="A94" s="7">
        <v>258</v>
      </c>
      <c r="B94" s="111" t="s">
        <v>92</v>
      </c>
      <c r="C94" s="106" t="s">
        <v>10</v>
      </c>
      <c r="D94" s="7">
        <v>10.67</v>
      </c>
      <c r="E94" s="7">
        <v>0.23369999999999999</v>
      </c>
      <c r="F94" s="7">
        <v>35</v>
      </c>
      <c r="G94" s="7"/>
      <c r="H94" s="8">
        <v>154.52799999999999</v>
      </c>
      <c r="I94" s="8">
        <v>1.9570000000000001</v>
      </c>
      <c r="J94" s="8">
        <v>1.4530000000000001</v>
      </c>
      <c r="K94" s="9">
        <v>11.082142276169</v>
      </c>
      <c r="L94" s="9">
        <v>11.028067510233701</v>
      </c>
      <c r="M94" s="10">
        <v>1731201932.4674599</v>
      </c>
      <c r="N94" s="10">
        <v>1538260596.73227</v>
      </c>
      <c r="O94" s="107">
        <f t="shared" si="10"/>
        <v>1634731264.599865</v>
      </c>
      <c r="P94" s="108">
        <f t="shared" si="8"/>
        <v>326946252919.97302</v>
      </c>
      <c r="Q94" s="109">
        <f t="shared" si="9"/>
        <v>2115773535.6697364</v>
      </c>
      <c r="R94" s="8">
        <f t="shared" si="11"/>
        <v>9.3254691806257117</v>
      </c>
      <c r="S94" s="67"/>
    </row>
    <row r="95" spans="1:21" s="100" customFormat="1" ht="15.75" customHeight="1" x14ac:dyDescent="0.2">
      <c r="A95" s="19">
        <v>3</v>
      </c>
      <c r="B95" s="19" t="s">
        <v>94</v>
      </c>
      <c r="C95" s="115" t="s">
        <v>8</v>
      </c>
      <c r="D95" s="19">
        <v>10.72</v>
      </c>
      <c r="E95" s="19">
        <v>0.26519999999999999</v>
      </c>
      <c r="F95" s="19">
        <v>35</v>
      </c>
      <c r="G95" s="19"/>
      <c r="H95" s="20">
        <v>198.42099999999999</v>
      </c>
      <c r="I95" s="20">
        <v>1.9590000000000001</v>
      </c>
      <c r="J95" s="20">
        <v>1.4490000000000001</v>
      </c>
      <c r="K95" s="21">
        <v>12.7256096816352</v>
      </c>
      <c r="L95" s="21">
        <v>12.89</v>
      </c>
      <c r="M95" s="22">
        <v>1367281077.1747401</v>
      </c>
      <c r="N95" s="22">
        <v>581485307.44131005</v>
      </c>
      <c r="O95" s="116">
        <f t="shared" si="10"/>
        <v>974383192.30802512</v>
      </c>
      <c r="P95" s="117">
        <f t="shared" si="8"/>
        <v>194876638461.60501</v>
      </c>
      <c r="Q95" s="118">
        <f t="shared" si="9"/>
        <v>982137165.22749615</v>
      </c>
      <c r="R95" s="20">
        <f t="shared" si="11"/>
        <v>8.9921721455684551</v>
      </c>
      <c r="S95" s="67"/>
    </row>
    <row r="96" spans="1:21" s="100" customFormat="1" ht="15.75" customHeight="1" x14ac:dyDescent="0.2">
      <c r="A96" s="19">
        <v>7</v>
      </c>
      <c r="B96" s="119" t="s">
        <v>94</v>
      </c>
      <c r="C96" s="115" t="s">
        <v>10</v>
      </c>
      <c r="D96" s="19">
        <v>9.58</v>
      </c>
      <c r="E96" s="19">
        <v>0.19670000000000001</v>
      </c>
      <c r="F96" s="19">
        <v>31</v>
      </c>
      <c r="G96" s="19" t="s">
        <v>95</v>
      </c>
      <c r="H96" s="20">
        <v>44.149000000000001</v>
      </c>
      <c r="I96" s="20">
        <v>1.839</v>
      </c>
      <c r="J96" s="20">
        <v>0.65200000000000002</v>
      </c>
      <c r="K96" s="21">
        <v>17.403940313419199</v>
      </c>
      <c r="L96" s="21">
        <v>17.4184580950384</v>
      </c>
      <c r="M96" s="22">
        <v>25902563.661147699</v>
      </c>
      <c r="N96" s="22">
        <v>26149039.734096099</v>
      </c>
      <c r="O96" s="116">
        <f t="shared" si="10"/>
        <v>26025801.697621897</v>
      </c>
      <c r="P96" s="117">
        <f t="shared" si="8"/>
        <v>5205160339.5243797</v>
      </c>
      <c r="Q96" s="118">
        <f t="shared" si="9"/>
        <v>117899846.87137601</v>
      </c>
      <c r="R96" s="20">
        <f t="shared" si="11"/>
        <v>8.0715132410326671</v>
      </c>
      <c r="S96" s="67"/>
    </row>
    <row r="97" spans="1:21" s="100" customFormat="1" ht="15.75" customHeight="1" x14ac:dyDescent="0.2">
      <c r="A97" s="19">
        <v>16</v>
      </c>
      <c r="B97" s="119" t="s">
        <v>94</v>
      </c>
      <c r="C97" s="115" t="s">
        <v>30</v>
      </c>
      <c r="D97" s="19">
        <v>11.3</v>
      </c>
      <c r="E97" s="19">
        <v>0.32200000000000001</v>
      </c>
      <c r="F97" s="19">
        <v>35</v>
      </c>
      <c r="G97" s="19"/>
      <c r="H97" s="20">
        <v>251.3</v>
      </c>
      <c r="I97" s="20">
        <v>1.907</v>
      </c>
      <c r="J97" s="20">
        <v>1.3089999999999999</v>
      </c>
      <c r="K97" s="21">
        <v>13.179161818189099</v>
      </c>
      <c r="L97" s="21">
        <v>13.1818976391192</v>
      </c>
      <c r="M97" s="22">
        <v>415173839.58005899</v>
      </c>
      <c r="N97" s="22">
        <v>1276039162.6842401</v>
      </c>
      <c r="O97" s="116">
        <f t="shared" si="10"/>
        <v>845606501.13214958</v>
      </c>
      <c r="P97" s="117">
        <f t="shared" si="8"/>
        <v>169121300226.4299</v>
      </c>
      <c r="Q97" s="118">
        <f t="shared" si="9"/>
        <v>672985675.39367247</v>
      </c>
      <c r="R97" s="20">
        <f t="shared" si="11"/>
        <v>8.8280058202957576</v>
      </c>
      <c r="S97" s="67"/>
    </row>
    <row r="98" spans="1:21" s="100" customFormat="1" ht="15.75" customHeight="1" x14ac:dyDescent="0.2">
      <c r="A98" s="19">
        <v>26</v>
      </c>
      <c r="B98" s="119" t="s">
        <v>94</v>
      </c>
      <c r="C98" s="115" t="s">
        <v>10</v>
      </c>
      <c r="D98" s="19">
        <v>11.39</v>
      </c>
      <c r="E98" s="19">
        <v>0.32519999999999999</v>
      </c>
      <c r="F98" s="19">
        <v>36</v>
      </c>
      <c r="G98" s="19"/>
      <c r="H98" s="20">
        <v>157.352</v>
      </c>
      <c r="I98" s="20">
        <v>1.909</v>
      </c>
      <c r="J98" s="20">
        <v>1.1299999999999999</v>
      </c>
      <c r="K98" s="21">
        <v>15.398003415138099</v>
      </c>
      <c r="L98" s="21">
        <v>15.765642917111601</v>
      </c>
      <c r="M98" s="22">
        <v>211342297.89239499</v>
      </c>
      <c r="N98" s="22">
        <v>153241612.13133499</v>
      </c>
      <c r="O98" s="116">
        <f t="shared" si="10"/>
        <v>182291955.01186499</v>
      </c>
      <c r="P98" s="117">
        <f t="shared" si="8"/>
        <v>36458391002.373001</v>
      </c>
      <c r="Q98" s="118">
        <f t="shared" si="9"/>
        <v>231699571.67607021</v>
      </c>
      <c r="R98" s="20">
        <f t="shared" si="11"/>
        <v>8.3649252309462501</v>
      </c>
      <c r="S98" s="67"/>
    </row>
    <row r="99" spans="1:21" s="100" customFormat="1" ht="15.75" customHeight="1" x14ac:dyDescent="0.2">
      <c r="A99" s="19">
        <v>32</v>
      </c>
      <c r="B99" s="119" t="s">
        <v>94</v>
      </c>
      <c r="C99" s="115" t="s">
        <v>10</v>
      </c>
      <c r="D99" s="19">
        <v>11.03</v>
      </c>
      <c r="E99" s="19">
        <v>0.28739999999999999</v>
      </c>
      <c r="F99" s="19">
        <v>34</v>
      </c>
      <c r="G99" s="19"/>
      <c r="H99" s="20">
        <v>78.034000000000006</v>
      </c>
      <c r="I99" s="20">
        <v>1.804</v>
      </c>
      <c r="J99" s="20">
        <v>0.85699999999999998</v>
      </c>
      <c r="K99" s="21">
        <v>14.801055169721501</v>
      </c>
      <c r="L99" s="21">
        <v>14.693022753280299</v>
      </c>
      <c r="M99" s="22">
        <v>193618877.543336</v>
      </c>
      <c r="N99" s="22">
        <v>197337462.94264799</v>
      </c>
      <c r="O99" s="116">
        <f t="shared" si="10"/>
        <v>195478170.24299198</v>
      </c>
      <c r="P99" s="117">
        <f t="shared" si="8"/>
        <v>39095634048.598396</v>
      </c>
      <c r="Q99" s="118">
        <f t="shared" si="9"/>
        <v>501007689.57888091</v>
      </c>
      <c r="R99" s="20">
        <f t="shared" si="11"/>
        <v>8.6998443915679395</v>
      </c>
      <c r="S99" s="67"/>
    </row>
    <row r="100" spans="1:21" s="100" customFormat="1" ht="15.75" customHeight="1" x14ac:dyDescent="0.2">
      <c r="A100" s="19">
        <v>58</v>
      </c>
      <c r="B100" s="119" t="s">
        <v>94</v>
      </c>
      <c r="C100" s="115" t="s">
        <v>24</v>
      </c>
      <c r="D100" s="19">
        <v>10.9</v>
      </c>
      <c r="E100" s="19">
        <v>0.28570000000000001</v>
      </c>
      <c r="F100" s="19">
        <v>36</v>
      </c>
      <c r="G100" s="19" t="s">
        <v>65</v>
      </c>
      <c r="H100" s="20">
        <v>174.19499999999999</v>
      </c>
      <c r="I100" s="20">
        <v>1.9319999999999999</v>
      </c>
      <c r="J100" s="20">
        <v>1.1259999999999999</v>
      </c>
      <c r="K100" s="21">
        <v>16.006103857021898</v>
      </c>
      <c r="L100" s="21">
        <v>16.099885662106701</v>
      </c>
      <c r="M100" s="22">
        <v>97806571.875714198</v>
      </c>
      <c r="N100" s="22">
        <v>87449265.032983094</v>
      </c>
      <c r="O100" s="116">
        <f t="shared" si="10"/>
        <v>92627918.454348654</v>
      </c>
      <c r="P100" s="117">
        <f t="shared" si="8"/>
        <v>18525583690.869732</v>
      </c>
      <c r="Q100" s="118">
        <f t="shared" si="9"/>
        <v>106349686.79278815</v>
      </c>
      <c r="R100" s="20">
        <f t="shared" si="11"/>
        <v>8.0267362152132282</v>
      </c>
      <c r="S100" s="67"/>
    </row>
    <row r="101" spans="1:21" s="100" customFormat="1" ht="15.75" customHeight="1" x14ac:dyDescent="0.2">
      <c r="A101" s="19">
        <v>66</v>
      </c>
      <c r="B101" s="119" t="s">
        <v>94</v>
      </c>
      <c r="C101" s="115" t="s">
        <v>29</v>
      </c>
      <c r="D101" s="19">
        <v>10.28</v>
      </c>
      <c r="E101" s="19">
        <v>0.26079999999999998</v>
      </c>
      <c r="F101" s="19">
        <v>33</v>
      </c>
      <c r="G101" s="19"/>
      <c r="H101" s="20">
        <v>83.715000000000003</v>
      </c>
      <c r="I101" s="20">
        <v>1.966</v>
      </c>
      <c r="J101" s="20">
        <v>1.113</v>
      </c>
      <c r="K101" s="21">
        <v>17.532546834685501</v>
      </c>
      <c r="L101" s="21">
        <v>17.545401212455999</v>
      </c>
      <c r="M101" s="22">
        <v>30616860.763600599</v>
      </c>
      <c r="N101" s="22">
        <v>33303330.8720816</v>
      </c>
      <c r="O101" s="116">
        <f t="shared" si="10"/>
        <v>31960095.817841098</v>
      </c>
      <c r="P101" s="117">
        <f t="shared" si="8"/>
        <v>6392019163.5682192</v>
      </c>
      <c r="Q101" s="118">
        <f t="shared" si="9"/>
        <v>76354526.232672989</v>
      </c>
      <c r="R101" s="20">
        <f t="shared" si="11"/>
        <v>7.8828347867704291</v>
      </c>
    </row>
    <row r="102" spans="1:21" s="100" customFormat="1" ht="15.75" customHeight="1" x14ac:dyDescent="0.2">
      <c r="A102" s="19">
        <v>92</v>
      </c>
      <c r="B102" s="119" t="s">
        <v>94</v>
      </c>
      <c r="C102" s="115" t="s">
        <v>31</v>
      </c>
      <c r="D102" s="19">
        <v>10.220000000000001</v>
      </c>
      <c r="E102" s="19">
        <v>0.24329999999999999</v>
      </c>
      <c r="F102" s="19">
        <v>34</v>
      </c>
      <c r="G102" s="19"/>
      <c r="H102" s="20">
        <v>122.827</v>
      </c>
      <c r="I102" s="20">
        <v>1.8959999999999999</v>
      </c>
      <c r="J102" s="20">
        <v>1.29</v>
      </c>
      <c r="K102" s="21">
        <v>12.0580451944494</v>
      </c>
      <c r="L102" s="21">
        <v>12.0550903674045</v>
      </c>
      <c r="M102" s="22">
        <v>1950815882.42314</v>
      </c>
      <c r="N102" s="22">
        <v>1069260015.1674401</v>
      </c>
      <c r="O102" s="116">
        <f t="shared" si="10"/>
        <v>1510037948.79529</v>
      </c>
      <c r="P102" s="117">
        <f t="shared" si="8"/>
        <v>302007589759.05798</v>
      </c>
      <c r="Q102" s="118">
        <f t="shared" si="9"/>
        <v>2458804576.836184</v>
      </c>
      <c r="R102" s="20">
        <f t="shared" si="11"/>
        <v>9.3907240128483842</v>
      </c>
    </row>
    <row r="103" spans="1:21" s="100" customFormat="1" ht="15.75" customHeight="1" x14ac:dyDescent="0.2">
      <c r="A103" s="19">
        <v>107</v>
      </c>
      <c r="B103" s="119" t="s">
        <v>94</v>
      </c>
      <c r="C103" s="115" t="s">
        <v>8</v>
      </c>
      <c r="D103" s="19">
        <v>9.8000000000000007</v>
      </c>
      <c r="E103" s="19">
        <v>0.2064</v>
      </c>
      <c r="F103" s="19">
        <v>34</v>
      </c>
      <c r="G103" s="19" t="s">
        <v>63</v>
      </c>
      <c r="H103" s="20">
        <v>9.9380000000000006</v>
      </c>
      <c r="I103" s="20">
        <v>1.7270000000000001</v>
      </c>
      <c r="J103" s="20">
        <v>0.29499999999999998</v>
      </c>
      <c r="K103" s="21">
        <v>17.129966543120101</v>
      </c>
      <c r="L103" s="21">
        <v>17.489784553868098</v>
      </c>
      <c r="M103" s="22">
        <v>24724950.727553099</v>
      </c>
      <c r="N103" s="22">
        <v>31266160.050701801</v>
      </c>
      <c r="O103" s="116">
        <f t="shared" si="10"/>
        <v>27995555.389127448</v>
      </c>
      <c r="P103" s="117">
        <f t="shared" ref="P103:P139" si="12">O103*200</f>
        <v>5599111077.82549</v>
      </c>
      <c r="Q103" s="118">
        <f t="shared" si="9"/>
        <v>563404213.90878344</v>
      </c>
      <c r="R103" s="20">
        <f t="shared" si="11"/>
        <v>8.7508200909111817</v>
      </c>
      <c r="S103" s="67"/>
    </row>
    <row r="104" spans="1:21" s="100" customFormat="1" ht="15.75" customHeight="1" x14ac:dyDescent="0.2">
      <c r="A104" s="19">
        <v>124</v>
      </c>
      <c r="B104" s="119" t="s">
        <v>94</v>
      </c>
      <c r="C104" s="115" t="s">
        <v>32</v>
      </c>
      <c r="D104" s="19">
        <v>10</v>
      </c>
      <c r="E104" s="19">
        <v>0.2109</v>
      </c>
      <c r="F104" s="19">
        <v>33</v>
      </c>
      <c r="G104" s="19" t="s">
        <v>63</v>
      </c>
      <c r="H104" s="20">
        <v>49.738</v>
      </c>
      <c r="I104" s="20">
        <v>2.0059999999999998</v>
      </c>
      <c r="J104" s="20">
        <v>1.054</v>
      </c>
      <c r="K104" s="21">
        <v>17.25</v>
      </c>
      <c r="L104" s="21">
        <v>17.187696869054001</v>
      </c>
      <c r="M104" s="22">
        <v>40646867.528700501</v>
      </c>
      <c r="N104" s="22">
        <v>24481580.596481699</v>
      </c>
      <c r="O104" s="116">
        <f>AVERAGE(M104:N104)</f>
        <v>32564224.062591098</v>
      </c>
      <c r="P104" s="117">
        <f t="shared" si="12"/>
        <v>6512844812.5182199</v>
      </c>
      <c r="Q104" s="118">
        <f t="shared" si="9"/>
        <v>130943037.76827013</v>
      </c>
      <c r="R104" s="20">
        <f t="shared" si="11"/>
        <v>8.1170824119693119</v>
      </c>
      <c r="S104" s="67"/>
    </row>
    <row r="105" spans="1:21" s="100" customFormat="1" ht="15.75" customHeight="1" x14ac:dyDescent="0.2">
      <c r="A105" s="19">
        <v>154</v>
      </c>
      <c r="B105" s="119" t="s">
        <v>94</v>
      </c>
      <c r="C105" s="115" t="s">
        <v>23</v>
      </c>
      <c r="D105" s="19">
        <v>10.029999999999999</v>
      </c>
      <c r="E105" s="19">
        <v>0.18740000000000001</v>
      </c>
      <c r="F105" s="19">
        <v>31</v>
      </c>
      <c r="G105" s="19" t="s">
        <v>63</v>
      </c>
      <c r="H105" s="20">
        <v>33.94</v>
      </c>
      <c r="I105" s="20">
        <v>1.859</v>
      </c>
      <c r="J105" s="20">
        <v>0.47399999999999998</v>
      </c>
      <c r="K105" s="21">
        <v>21.14</v>
      </c>
      <c r="L105" s="21">
        <v>21.279853282759699</v>
      </c>
      <c r="M105" s="22">
        <v>3182788.0919035701</v>
      </c>
      <c r="N105" s="22">
        <v>2681921.9994553798</v>
      </c>
      <c r="O105" s="116">
        <f t="shared" si="10"/>
        <v>2932355.0456794752</v>
      </c>
      <c r="P105" s="117">
        <f t="shared" si="12"/>
        <v>586471009.13589501</v>
      </c>
      <c r="Q105" s="118">
        <f t="shared" si="9"/>
        <v>17279640.811310992</v>
      </c>
      <c r="R105" s="20">
        <f t="shared" si="11"/>
        <v>7.2375347106378456</v>
      </c>
      <c r="S105" s="67"/>
    </row>
    <row r="106" spans="1:21" s="100" customFormat="1" ht="15.75" customHeight="1" x14ac:dyDescent="0.2">
      <c r="A106" s="19">
        <v>158</v>
      </c>
      <c r="B106" s="119" t="s">
        <v>94</v>
      </c>
      <c r="C106" s="115" t="s">
        <v>8</v>
      </c>
      <c r="D106" s="19">
        <v>11.31</v>
      </c>
      <c r="E106" s="19">
        <v>0.26219999999999999</v>
      </c>
      <c r="F106" s="19">
        <v>33</v>
      </c>
      <c r="G106" s="19"/>
      <c r="H106" s="20">
        <v>83.24</v>
      </c>
      <c r="I106" s="20">
        <v>1.976</v>
      </c>
      <c r="J106" s="20">
        <v>1.0249999999999999</v>
      </c>
      <c r="K106" s="21">
        <v>17.47</v>
      </c>
      <c r="L106" s="21">
        <v>17.6188668068685</v>
      </c>
      <c r="M106" s="22">
        <v>32468536.410570901</v>
      </c>
      <c r="N106" s="22">
        <v>32863477.5485547</v>
      </c>
      <c r="O106" s="116">
        <f t="shared" si="10"/>
        <v>32666006.9795628</v>
      </c>
      <c r="P106" s="117">
        <f t="shared" si="12"/>
        <v>6533201395.9125605</v>
      </c>
      <c r="Q106" s="118">
        <f t="shared" si="9"/>
        <v>78486321.430953398</v>
      </c>
      <c r="R106" s="20">
        <f t="shared" si="11"/>
        <v>7.8947939746473708</v>
      </c>
      <c r="S106" s="67"/>
    </row>
    <row r="107" spans="1:21" s="100" customFormat="1" ht="15.75" customHeight="1" x14ac:dyDescent="0.2">
      <c r="A107" s="19">
        <v>184</v>
      </c>
      <c r="B107" s="119" t="s">
        <v>94</v>
      </c>
      <c r="C107" s="115" t="s">
        <v>10</v>
      </c>
      <c r="D107" s="19">
        <v>10.01</v>
      </c>
      <c r="E107" s="19">
        <v>0.24149999999999999</v>
      </c>
      <c r="F107" s="19">
        <v>33</v>
      </c>
      <c r="G107" s="19"/>
      <c r="H107" s="20">
        <v>51.164999999999999</v>
      </c>
      <c r="I107" s="20">
        <v>1.861</v>
      </c>
      <c r="J107" s="20">
        <v>0.79</v>
      </c>
      <c r="K107" s="21">
        <v>19.010000000000002</v>
      </c>
      <c r="L107" s="21">
        <v>18.939352705917301</v>
      </c>
      <c r="M107" s="22">
        <v>12411010.7989928</v>
      </c>
      <c r="N107" s="22">
        <v>11604970.703341899</v>
      </c>
      <c r="O107" s="116">
        <f>AVERAGE(M107:N107)</f>
        <v>12007990.75116735</v>
      </c>
      <c r="P107" s="117">
        <f>O107*200</f>
        <v>2401598150.23347</v>
      </c>
      <c r="Q107" s="118">
        <f t="shared" si="9"/>
        <v>46938300.600673705</v>
      </c>
      <c r="R107" s="20">
        <f t="shared" si="11"/>
        <v>7.6715273619325748</v>
      </c>
      <c r="S107" s="67"/>
    </row>
    <row r="108" spans="1:21" s="100" customFormat="1" ht="15.75" customHeight="1" x14ac:dyDescent="0.2">
      <c r="A108" s="19">
        <v>205</v>
      </c>
      <c r="B108" s="119" t="s">
        <v>94</v>
      </c>
      <c r="C108" s="115" t="s">
        <v>33</v>
      </c>
      <c r="D108" s="19">
        <v>11.97</v>
      </c>
      <c r="E108" s="19">
        <v>0.33169999999999999</v>
      </c>
      <c r="F108" s="19">
        <v>31</v>
      </c>
      <c r="G108" s="19" t="s">
        <v>63</v>
      </c>
      <c r="H108" s="20">
        <v>33.659999999999997</v>
      </c>
      <c r="I108" s="20">
        <v>1.762</v>
      </c>
      <c r="J108" s="20">
        <v>0.45600000000000002</v>
      </c>
      <c r="K108" s="20"/>
      <c r="L108" s="20"/>
      <c r="M108" s="22">
        <v>1102870.54744968</v>
      </c>
      <c r="N108" s="22">
        <v>1104806.36505208</v>
      </c>
      <c r="O108" s="116">
        <f t="shared" si="10"/>
        <v>1103838.4562508799</v>
      </c>
      <c r="P108" s="117">
        <f t="shared" si="12"/>
        <v>220767691.25017598</v>
      </c>
      <c r="Q108" s="118">
        <f t="shared" si="9"/>
        <v>6558754.9391020797</v>
      </c>
      <c r="R108" s="20">
        <f t="shared" si="11"/>
        <v>6.8168214042540756</v>
      </c>
      <c r="S108" s="67"/>
    </row>
    <row r="109" spans="1:21" s="100" customFormat="1" ht="15.75" customHeight="1" x14ac:dyDescent="0.2">
      <c r="A109" s="19">
        <v>217</v>
      </c>
      <c r="B109" s="119" t="s">
        <v>94</v>
      </c>
      <c r="C109" s="115" t="s">
        <v>10</v>
      </c>
      <c r="D109" s="19">
        <v>9.52</v>
      </c>
      <c r="E109" s="19">
        <v>0.21690000000000001</v>
      </c>
      <c r="F109" s="19">
        <v>33</v>
      </c>
      <c r="G109" s="19"/>
      <c r="H109" s="20">
        <v>39.084000000000003</v>
      </c>
      <c r="I109" s="20">
        <v>1.857</v>
      </c>
      <c r="J109" s="20">
        <v>0.73</v>
      </c>
      <c r="K109" s="21">
        <v>13.896413232160899</v>
      </c>
      <c r="L109" s="21">
        <v>13.712085198559301</v>
      </c>
      <c r="M109" s="22">
        <v>290660280.64851302</v>
      </c>
      <c r="N109" s="22">
        <v>257729534.36233801</v>
      </c>
      <c r="O109" s="116">
        <f t="shared" si="10"/>
        <v>274194907.50542551</v>
      </c>
      <c r="P109" s="117">
        <f t="shared" si="12"/>
        <v>54838981501.085106</v>
      </c>
      <c r="Q109" s="118">
        <f t="shared" si="9"/>
        <v>1403105657.0741251</v>
      </c>
      <c r="R109" s="20">
        <f t="shared" si="11"/>
        <v>9.1470903756303219</v>
      </c>
      <c r="S109" s="67"/>
    </row>
    <row r="110" spans="1:21" s="100" customFormat="1" x14ac:dyDescent="0.2">
      <c r="A110" s="15">
        <v>8</v>
      </c>
      <c r="B110" s="15" t="s">
        <v>96</v>
      </c>
      <c r="C110" s="120" t="s">
        <v>34</v>
      </c>
      <c r="D110" s="15">
        <v>10.01</v>
      </c>
      <c r="E110" s="15">
        <v>0.20979999999999999</v>
      </c>
      <c r="F110" s="15">
        <v>34</v>
      </c>
      <c r="G110" s="15"/>
      <c r="H110" s="16">
        <v>91.56</v>
      </c>
      <c r="I110" s="16">
        <v>1.8480000000000001</v>
      </c>
      <c r="J110" s="16">
        <v>0.90800000000000003</v>
      </c>
      <c r="K110" s="17">
        <v>12.1243506242416</v>
      </c>
      <c r="L110" s="17">
        <v>12.770406192217401</v>
      </c>
      <c r="M110" s="18">
        <v>597379866.05895901</v>
      </c>
      <c r="N110" s="18">
        <v>667838558.76794505</v>
      </c>
      <c r="O110" s="121">
        <f t="shared" si="10"/>
        <v>632609212.41345203</v>
      </c>
      <c r="P110" s="122">
        <f t="shared" si="12"/>
        <v>126521842482.6904</v>
      </c>
      <c r="Q110" s="123">
        <f t="shared" si="9"/>
        <v>1381846248.172678</v>
      </c>
      <c r="R110" s="16">
        <f t="shared" si="11"/>
        <v>9.1404597237293164</v>
      </c>
      <c r="S110" s="67"/>
      <c r="T110" s="79"/>
      <c r="U110" s="79"/>
    </row>
    <row r="111" spans="1:21" s="100" customFormat="1" x14ac:dyDescent="0.2">
      <c r="A111" s="15">
        <v>10</v>
      </c>
      <c r="B111" s="124" t="s">
        <v>96</v>
      </c>
      <c r="C111" s="120" t="s">
        <v>8</v>
      </c>
      <c r="D111" s="15">
        <v>10.5</v>
      </c>
      <c r="E111" s="15">
        <v>0.25240000000000001</v>
      </c>
      <c r="F111" s="15">
        <v>36</v>
      </c>
      <c r="G111" s="15"/>
      <c r="H111" s="16">
        <v>125.605</v>
      </c>
      <c r="I111" s="16">
        <v>1.843</v>
      </c>
      <c r="J111" s="16">
        <v>0.89800000000000002</v>
      </c>
      <c r="K111" s="17">
        <v>14.395384804732799</v>
      </c>
      <c r="L111" s="17">
        <v>15.1797515094289</v>
      </c>
      <c r="M111" s="18">
        <v>221427138.87157801</v>
      </c>
      <c r="N111" s="18">
        <v>220840308.83759001</v>
      </c>
      <c r="O111" s="121">
        <f t="shared" si="10"/>
        <v>221133723.85458401</v>
      </c>
      <c r="P111" s="122">
        <f t="shared" si="12"/>
        <v>44226744770.916801</v>
      </c>
      <c r="Q111" s="123">
        <f t="shared" ref="Q111:Q139" si="13">P111/H111</f>
        <v>352109746.99189365</v>
      </c>
      <c r="R111" s="16">
        <f t="shared" si="11"/>
        <v>8.5466780472406043</v>
      </c>
      <c r="S111" s="67"/>
    </row>
    <row r="112" spans="1:21" s="100" customFormat="1" x14ac:dyDescent="0.2">
      <c r="A112" s="15">
        <v>41</v>
      </c>
      <c r="B112" s="124" t="s">
        <v>96</v>
      </c>
      <c r="C112" s="120" t="s">
        <v>31</v>
      </c>
      <c r="D112" s="15">
        <v>8.61</v>
      </c>
      <c r="E112" s="15">
        <v>0.17499999999999999</v>
      </c>
      <c r="F112" s="15">
        <v>33</v>
      </c>
      <c r="G112" s="15" t="s">
        <v>63</v>
      </c>
      <c r="H112" s="16">
        <v>38.177999999999997</v>
      </c>
      <c r="I112" s="16">
        <v>1.885</v>
      </c>
      <c r="J112" s="16">
        <v>0.58699999999999997</v>
      </c>
      <c r="K112" s="17">
        <v>16.272190655059202</v>
      </c>
      <c r="L112" s="17">
        <v>16.322746594121401</v>
      </c>
      <c r="M112" s="18">
        <v>54712784.706330597</v>
      </c>
      <c r="N112" s="18">
        <v>52937807.0817708</v>
      </c>
      <c r="O112" s="121">
        <f t="shared" si="10"/>
        <v>53825295.894050702</v>
      </c>
      <c r="P112" s="122">
        <f t="shared" si="12"/>
        <v>10765059178.810141</v>
      </c>
      <c r="Q112" s="123">
        <f t="shared" si="13"/>
        <v>281970223.13400757</v>
      </c>
      <c r="R112" s="16">
        <f t="shared" si="11"/>
        <v>8.4502032479952849</v>
      </c>
      <c r="S112" s="67"/>
    </row>
    <row r="113" spans="1:19" s="100" customFormat="1" x14ac:dyDescent="0.2">
      <c r="A113" s="15">
        <v>47</v>
      </c>
      <c r="B113" s="124" t="s">
        <v>96</v>
      </c>
      <c r="C113" s="120" t="s">
        <v>10</v>
      </c>
      <c r="D113" s="15">
        <v>9.32</v>
      </c>
      <c r="E113" s="15">
        <v>0.20610000000000001</v>
      </c>
      <c r="F113" s="15">
        <v>35</v>
      </c>
      <c r="G113" s="15"/>
      <c r="H113" s="16">
        <v>68.796000000000006</v>
      </c>
      <c r="I113" s="16">
        <v>1.9390000000000001</v>
      </c>
      <c r="J113" s="16">
        <v>0.89600000000000002</v>
      </c>
      <c r="K113" s="17">
        <v>17.163898617531999</v>
      </c>
      <c r="L113" s="17">
        <v>17.213307567340902</v>
      </c>
      <c r="M113" s="18">
        <v>37151561.279093601</v>
      </c>
      <c r="N113" s="18">
        <v>37561867.108969003</v>
      </c>
      <c r="O113" s="121">
        <f t="shared" si="10"/>
        <v>37356714.194031298</v>
      </c>
      <c r="P113" s="122">
        <f t="shared" si="12"/>
        <v>7471342838.8062592</v>
      </c>
      <c r="Q113" s="123">
        <f t="shared" si="13"/>
        <v>108601413.43691869</v>
      </c>
      <c r="R113" s="16">
        <f t="shared" si="11"/>
        <v>8.0358354775903944</v>
      </c>
      <c r="S113" s="67"/>
    </row>
    <row r="114" spans="1:19" s="100" customFormat="1" x14ac:dyDescent="0.2">
      <c r="A114" s="15">
        <v>95</v>
      </c>
      <c r="B114" s="124" t="s">
        <v>96</v>
      </c>
      <c r="C114" s="120" t="s">
        <v>23</v>
      </c>
      <c r="D114" s="15">
        <v>10.48</v>
      </c>
      <c r="E114" s="15">
        <v>0.24379999999999999</v>
      </c>
      <c r="F114" s="15">
        <v>31</v>
      </c>
      <c r="G114" s="15" t="s">
        <v>63</v>
      </c>
      <c r="H114" s="16">
        <v>19.817</v>
      </c>
      <c r="I114" s="16">
        <v>1.698</v>
      </c>
      <c r="J114" s="16">
        <v>0.38100000000000001</v>
      </c>
      <c r="K114" s="17">
        <v>19.482263908896002</v>
      </c>
      <c r="L114" s="17">
        <v>19.508314115224501</v>
      </c>
      <c r="M114" s="18">
        <v>6739865.8354130303</v>
      </c>
      <c r="N114" s="18">
        <v>6626299.0919863498</v>
      </c>
      <c r="O114" s="121">
        <f t="shared" si="10"/>
        <v>6683082.4636996901</v>
      </c>
      <c r="P114" s="122">
        <f t="shared" si="12"/>
        <v>1336616492.739938</v>
      </c>
      <c r="Q114" s="123">
        <f t="shared" si="13"/>
        <v>67447973.59539476</v>
      </c>
      <c r="R114" s="16">
        <f t="shared" si="11"/>
        <v>7.8289689062754064</v>
      </c>
      <c r="S114" s="67"/>
    </row>
    <row r="115" spans="1:19" s="100" customFormat="1" x14ac:dyDescent="0.2">
      <c r="A115" s="15">
        <v>125</v>
      </c>
      <c r="B115" s="124" t="s">
        <v>96</v>
      </c>
      <c r="C115" s="120" t="s">
        <v>10</v>
      </c>
      <c r="D115" s="15">
        <v>9.4600000000000009</v>
      </c>
      <c r="E115" s="15">
        <v>0.19439999999999999</v>
      </c>
      <c r="F115" s="15">
        <v>34</v>
      </c>
      <c r="G115" s="15"/>
      <c r="H115" s="16">
        <v>139.34</v>
      </c>
      <c r="I115" s="16">
        <v>1.925</v>
      </c>
      <c r="J115" s="16">
        <v>1.254</v>
      </c>
      <c r="K115" s="17">
        <v>12.387196955710101</v>
      </c>
      <c r="L115" s="17">
        <v>12.5562861896328</v>
      </c>
      <c r="M115" s="18">
        <v>628784578.53164804</v>
      </c>
      <c r="N115" s="18">
        <v>710574721.900612</v>
      </c>
      <c r="O115" s="121">
        <f t="shared" si="10"/>
        <v>669679650.21613002</v>
      </c>
      <c r="P115" s="122">
        <f t="shared" si="12"/>
        <v>133935930043.226</v>
      </c>
      <c r="Q115" s="123">
        <f t="shared" si="13"/>
        <v>961216664.58465624</v>
      </c>
      <c r="R115" s="16">
        <f t="shared" si="11"/>
        <v>8.9828212915476158</v>
      </c>
      <c r="S115" s="67"/>
    </row>
    <row r="116" spans="1:19" s="100" customFormat="1" x14ac:dyDescent="0.2">
      <c r="A116" s="15">
        <v>134</v>
      </c>
      <c r="B116" s="124" t="s">
        <v>96</v>
      </c>
      <c r="C116" s="120" t="s">
        <v>8</v>
      </c>
      <c r="D116" s="15">
        <v>10.01</v>
      </c>
      <c r="E116" s="15">
        <v>0.1835</v>
      </c>
      <c r="F116" s="15">
        <v>34</v>
      </c>
      <c r="G116" s="15"/>
      <c r="H116" s="16">
        <v>77.888000000000005</v>
      </c>
      <c r="I116" s="16">
        <v>1.8620000000000001</v>
      </c>
      <c r="J116" s="16">
        <v>0.82599999999999996</v>
      </c>
      <c r="K116" s="17">
        <v>16.155591765176901</v>
      </c>
      <c r="L116" s="17">
        <v>16.691393868928301</v>
      </c>
      <c r="M116" s="18">
        <v>77879043.338257194</v>
      </c>
      <c r="N116" s="18">
        <v>86954759.060927093</v>
      </c>
      <c r="O116" s="121">
        <f t="shared" si="10"/>
        <v>82416901.199592143</v>
      </c>
      <c r="P116" s="122">
        <f t="shared" si="12"/>
        <v>16483380239.918428</v>
      </c>
      <c r="Q116" s="123">
        <f t="shared" si="13"/>
        <v>211629265.61111376</v>
      </c>
      <c r="R116" s="16">
        <f t="shared" si="11"/>
        <v>8.3255757248686688</v>
      </c>
      <c r="S116" s="67"/>
    </row>
    <row r="117" spans="1:19" s="100" customFormat="1" x14ac:dyDescent="0.2">
      <c r="A117" s="15">
        <v>137</v>
      </c>
      <c r="B117" s="124" t="s">
        <v>96</v>
      </c>
      <c r="C117" s="120" t="s">
        <v>33</v>
      </c>
      <c r="D117" s="15">
        <v>10.37</v>
      </c>
      <c r="E117" s="15">
        <v>0.2084</v>
      </c>
      <c r="F117" s="15">
        <v>34</v>
      </c>
      <c r="G117" s="15"/>
      <c r="H117" s="16">
        <v>107.056</v>
      </c>
      <c r="I117" s="16">
        <v>1.8089999999999999</v>
      </c>
      <c r="J117" s="16">
        <v>0.85499999999999998</v>
      </c>
      <c r="K117" s="17">
        <v>15.219636041159401</v>
      </c>
      <c r="L117" s="17">
        <v>15.2206920047257</v>
      </c>
      <c r="M117" s="18">
        <v>146929794.036376</v>
      </c>
      <c r="N117" s="18">
        <v>178104408.29883999</v>
      </c>
      <c r="O117" s="121">
        <f t="shared" si="10"/>
        <v>162517101.16760799</v>
      </c>
      <c r="P117" s="122">
        <f t="shared" si="12"/>
        <v>32503420233.521599</v>
      </c>
      <c r="Q117" s="123">
        <f t="shared" si="13"/>
        <v>303611383.14080107</v>
      </c>
      <c r="R117" s="16">
        <f t="shared" si="11"/>
        <v>8.482318050301707</v>
      </c>
      <c r="S117" s="67"/>
    </row>
    <row r="118" spans="1:19" s="100" customFormat="1" x14ac:dyDescent="0.2">
      <c r="A118" s="15">
        <v>145</v>
      </c>
      <c r="B118" s="124" t="s">
        <v>96</v>
      </c>
      <c r="C118" s="120" t="s">
        <v>8</v>
      </c>
      <c r="D118" s="15">
        <v>9.7200000000000006</v>
      </c>
      <c r="E118" s="15">
        <v>0.1817</v>
      </c>
      <c r="F118" s="15">
        <v>33</v>
      </c>
      <c r="G118" s="15"/>
      <c r="H118" s="16">
        <v>63.274000000000001</v>
      </c>
      <c r="I118" s="16">
        <v>1.825</v>
      </c>
      <c r="J118" s="16">
        <v>0.52300000000000002</v>
      </c>
      <c r="K118" s="17">
        <v>17.120703412477098</v>
      </c>
      <c r="L118" s="17">
        <v>17.068969091915498</v>
      </c>
      <c r="M118" s="18">
        <v>31455664.228826601</v>
      </c>
      <c r="N118" s="18">
        <v>32535357.051679298</v>
      </c>
      <c r="O118" s="121">
        <f t="shared" si="10"/>
        <v>31995510.640252948</v>
      </c>
      <c r="P118" s="122">
        <f t="shared" si="12"/>
        <v>6399102128.0505896</v>
      </c>
      <c r="Q118" s="123">
        <f t="shared" si="13"/>
        <v>101133200.49389306</v>
      </c>
      <c r="R118" s="16">
        <f t="shared" si="11"/>
        <v>8.0048937512814078</v>
      </c>
      <c r="S118" s="67"/>
    </row>
    <row r="119" spans="1:19" s="100" customFormat="1" x14ac:dyDescent="0.2">
      <c r="A119" s="15">
        <v>162</v>
      </c>
      <c r="B119" s="124" t="s">
        <v>96</v>
      </c>
      <c r="C119" s="120" t="s">
        <v>10</v>
      </c>
      <c r="D119" s="15">
        <v>8.93</v>
      </c>
      <c r="E119" s="15">
        <v>0.1449</v>
      </c>
      <c r="F119" s="15">
        <v>33</v>
      </c>
      <c r="G119" s="15"/>
      <c r="H119" s="16">
        <v>67.972999999999999</v>
      </c>
      <c r="I119" s="16">
        <v>1.889</v>
      </c>
      <c r="J119" s="16">
        <v>0.875</v>
      </c>
      <c r="K119" s="17">
        <v>13.4791902506696</v>
      </c>
      <c r="L119" s="17">
        <v>13.7284014312004</v>
      </c>
      <c r="M119" s="18">
        <v>352553043.44282699</v>
      </c>
      <c r="N119" s="18">
        <v>332112121.01642501</v>
      </c>
      <c r="O119" s="121">
        <f t="shared" si="10"/>
        <v>342332582.229626</v>
      </c>
      <c r="P119" s="122">
        <f t="shared" si="12"/>
        <v>68466516445.925201</v>
      </c>
      <c r="Q119" s="123">
        <f t="shared" si="13"/>
        <v>1007260477.6297235</v>
      </c>
      <c r="R119" s="16">
        <f t="shared" si="11"/>
        <v>9.0031417936609177</v>
      </c>
      <c r="S119" s="67"/>
    </row>
    <row r="120" spans="1:19" s="100" customFormat="1" x14ac:dyDescent="0.2">
      <c r="A120" s="15">
        <v>175</v>
      </c>
      <c r="B120" s="124" t="s">
        <v>96</v>
      </c>
      <c r="C120" s="120" t="s">
        <v>30</v>
      </c>
      <c r="D120" s="15">
        <v>10.55</v>
      </c>
      <c r="E120" s="15">
        <v>0.2366</v>
      </c>
      <c r="F120" s="15">
        <v>34</v>
      </c>
      <c r="G120" s="15"/>
      <c r="H120" s="16">
        <v>83.897999999999996</v>
      </c>
      <c r="I120" s="16">
        <v>1.772</v>
      </c>
      <c r="J120" s="16">
        <v>0.65800000000000003</v>
      </c>
      <c r="K120" s="17">
        <v>18.0665890135826</v>
      </c>
      <c r="L120" s="17">
        <v>18.062833979620098</v>
      </c>
      <c r="M120" s="18">
        <v>20931249.1311111</v>
      </c>
      <c r="N120" s="18">
        <v>22123933.857512001</v>
      </c>
      <c r="O120" s="121">
        <f t="shared" si="10"/>
        <v>21527591.494311549</v>
      </c>
      <c r="P120" s="122">
        <f t="shared" si="12"/>
        <v>4305518298.8623095</v>
      </c>
      <c r="Q120" s="123">
        <f t="shared" si="13"/>
        <v>51318485.528407231</v>
      </c>
      <c r="R120" s="16">
        <f t="shared" si="11"/>
        <v>7.7102738313279726</v>
      </c>
      <c r="S120" s="67"/>
    </row>
    <row r="121" spans="1:19" s="100" customFormat="1" x14ac:dyDescent="0.2">
      <c r="A121" s="15">
        <v>201</v>
      </c>
      <c r="B121" s="124" t="s">
        <v>96</v>
      </c>
      <c r="C121" s="120" t="s">
        <v>25</v>
      </c>
      <c r="D121" s="15">
        <v>9.3800000000000008</v>
      </c>
      <c r="E121" s="15">
        <v>0.17</v>
      </c>
      <c r="F121" s="15">
        <v>33</v>
      </c>
      <c r="G121" s="15"/>
      <c r="H121" s="16">
        <v>70.462999999999994</v>
      </c>
      <c r="I121" s="16">
        <v>1.796</v>
      </c>
      <c r="J121" s="16">
        <v>0.72799999999999998</v>
      </c>
      <c r="K121" s="17">
        <v>13.7279455946124</v>
      </c>
      <c r="L121" s="17">
        <v>13.497119233195701</v>
      </c>
      <c r="M121" s="18">
        <v>287668507.87345499</v>
      </c>
      <c r="N121" s="18">
        <v>334416071.951581</v>
      </c>
      <c r="O121" s="121">
        <f t="shared" si="10"/>
        <v>311042289.91251802</v>
      </c>
      <c r="P121" s="122">
        <f t="shared" si="12"/>
        <v>62208457982.503601</v>
      </c>
      <c r="Q121" s="123">
        <f t="shared" si="13"/>
        <v>882852816.12340665</v>
      </c>
      <c r="R121" s="16">
        <f t="shared" si="11"/>
        <v>8.9458883066654433</v>
      </c>
      <c r="S121" s="67"/>
    </row>
    <row r="122" spans="1:19" s="100" customFormat="1" x14ac:dyDescent="0.2">
      <c r="A122" s="15">
        <v>203</v>
      </c>
      <c r="B122" s="124" t="s">
        <v>96</v>
      </c>
      <c r="C122" s="120" t="s">
        <v>35</v>
      </c>
      <c r="D122" s="15">
        <v>10.84</v>
      </c>
      <c r="E122" s="15">
        <v>0.24660000000000001</v>
      </c>
      <c r="F122" s="15">
        <v>35</v>
      </c>
      <c r="G122" s="15"/>
      <c r="H122" s="16">
        <v>73.644999999999996</v>
      </c>
      <c r="I122" s="16">
        <v>1.8320000000000001</v>
      </c>
      <c r="J122" s="16">
        <v>0.76900000000000002</v>
      </c>
      <c r="K122" s="17">
        <v>15.190570779902499</v>
      </c>
      <c r="L122" s="17">
        <v>15.57</v>
      </c>
      <c r="M122" s="18">
        <v>135925378.05866399</v>
      </c>
      <c r="N122" s="18">
        <v>163545279.93958199</v>
      </c>
      <c r="O122" s="121">
        <f t="shared" si="10"/>
        <v>149735328.99912298</v>
      </c>
      <c r="P122" s="122">
        <f t="shared" si="12"/>
        <v>29947065799.824596</v>
      </c>
      <c r="Q122" s="123">
        <f t="shared" si="13"/>
        <v>406640855.45284265</v>
      </c>
      <c r="R122" s="16">
        <f t="shared" si="11"/>
        <v>8.6092110103235537</v>
      </c>
      <c r="S122" s="67"/>
    </row>
    <row r="123" spans="1:19" s="100" customFormat="1" x14ac:dyDescent="0.2">
      <c r="A123" s="15">
        <v>222</v>
      </c>
      <c r="B123" s="124" t="s">
        <v>96</v>
      </c>
      <c r="C123" s="120" t="s">
        <v>20</v>
      </c>
      <c r="D123" s="15">
        <v>8.36</v>
      </c>
      <c r="E123" s="15">
        <v>0.13189999999999999</v>
      </c>
      <c r="F123" s="15">
        <v>31</v>
      </c>
      <c r="G123" s="15"/>
      <c r="H123" s="16">
        <v>47.847000000000001</v>
      </c>
      <c r="I123" s="16">
        <v>1.9059999999999999</v>
      </c>
      <c r="J123" s="16">
        <v>0.77400000000000002</v>
      </c>
      <c r="K123" s="17">
        <v>17.782614122563398</v>
      </c>
      <c r="L123" s="17">
        <v>17.95</v>
      </c>
      <c r="M123" s="18">
        <v>25218844.908745699</v>
      </c>
      <c r="N123" s="18">
        <v>31029735.276626501</v>
      </c>
      <c r="O123" s="121">
        <f t="shared" si="10"/>
        <v>28124290.092686102</v>
      </c>
      <c r="P123" s="122">
        <f t="shared" si="12"/>
        <v>5624858018.53722</v>
      </c>
      <c r="Q123" s="123">
        <f t="shared" si="13"/>
        <v>117559262.20112483</v>
      </c>
      <c r="R123" s="16">
        <f t="shared" si="11"/>
        <v>8.070256851788244</v>
      </c>
      <c r="S123" s="67"/>
    </row>
    <row r="124" spans="1:19" s="100" customFormat="1" x14ac:dyDescent="0.2">
      <c r="A124" s="15">
        <v>246</v>
      </c>
      <c r="B124" s="124" t="s">
        <v>96</v>
      </c>
      <c r="C124" s="120" t="s">
        <v>28</v>
      </c>
      <c r="D124" s="15">
        <v>8.5299999999999994</v>
      </c>
      <c r="E124" s="15">
        <v>0.15909999999999999</v>
      </c>
      <c r="F124" s="15">
        <v>35</v>
      </c>
      <c r="G124" s="15"/>
      <c r="H124" s="16">
        <v>99.762</v>
      </c>
      <c r="I124" s="16">
        <v>1.7949999999999999</v>
      </c>
      <c r="J124" s="16">
        <v>0.84699999999999998</v>
      </c>
      <c r="K124" s="17">
        <v>14.1107612695446</v>
      </c>
      <c r="L124" s="17">
        <v>14.08</v>
      </c>
      <c r="M124" s="18">
        <v>270180947.38252598</v>
      </c>
      <c r="N124" s="18">
        <v>255510149.649661</v>
      </c>
      <c r="O124" s="121">
        <f t="shared" si="10"/>
        <v>262845548.51609349</v>
      </c>
      <c r="P124" s="122">
        <f t="shared" si="12"/>
        <v>52569109703.218697</v>
      </c>
      <c r="Q124" s="123">
        <f t="shared" si="13"/>
        <v>526945226.67166555</v>
      </c>
      <c r="R124" s="16">
        <f t="shared" si="11"/>
        <v>8.7217654748130826</v>
      </c>
      <c r="S124" s="67"/>
    </row>
    <row r="125" spans="1:19" s="100" customFormat="1" ht="15.75" customHeight="1" x14ac:dyDescent="0.2">
      <c r="A125" s="23">
        <v>29</v>
      </c>
      <c r="B125" s="23" t="s">
        <v>97</v>
      </c>
      <c r="C125" s="125" t="s">
        <v>16</v>
      </c>
      <c r="D125" s="23">
        <v>10.4</v>
      </c>
      <c r="E125" s="23">
        <v>0.17150000000000001</v>
      </c>
      <c r="F125" s="23">
        <v>33</v>
      </c>
      <c r="G125" s="23" t="s">
        <v>63</v>
      </c>
      <c r="H125" s="24">
        <v>8.0239999999999991</v>
      </c>
      <c r="I125" s="24">
        <v>1.7969999999999999</v>
      </c>
      <c r="J125" s="24">
        <v>0.184</v>
      </c>
      <c r="K125" s="25">
        <v>19.8540616738197</v>
      </c>
      <c r="L125" s="25">
        <v>19.657480713246699</v>
      </c>
      <c r="M125" s="26">
        <v>5288325.5967926104</v>
      </c>
      <c r="N125" s="26">
        <v>6011890.0725956196</v>
      </c>
      <c r="O125" s="126">
        <f t="shared" si="10"/>
        <v>5650107.8346941154</v>
      </c>
      <c r="P125" s="127">
        <f t="shared" si="12"/>
        <v>1130021566.938823</v>
      </c>
      <c r="Q125" s="128">
        <f t="shared" si="13"/>
        <v>140830205.25159809</v>
      </c>
      <c r="R125" s="24">
        <f t="shared" si="11"/>
        <v>8.1486958122437496</v>
      </c>
      <c r="S125" s="67"/>
    </row>
    <row r="126" spans="1:19" s="100" customFormat="1" ht="15.75" customHeight="1" x14ac:dyDescent="0.2">
      <c r="A126" s="23">
        <v>45</v>
      </c>
      <c r="B126" s="27" t="s">
        <v>97</v>
      </c>
      <c r="C126" s="125" t="s">
        <v>26</v>
      </c>
      <c r="D126" s="23">
        <v>10.63</v>
      </c>
      <c r="E126" s="27">
        <v>0.21379999999999999</v>
      </c>
      <c r="F126" s="23">
        <v>33</v>
      </c>
      <c r="G126" s="23" t="s">
        <v>66</v>
      </c>
      <c r="H126" s="24">
        <v>85.525999999999996</v>
      </c>
      <c r="I126" s="24">
        <v>1.8560000000000001</v>
      </c>
      <c r="J126" s="24">
        <v>0.79600000000000004</v>
      </c>
      <c r="K126" s="25">
        <v>15.9700600377257</v>
      </c>
      <c r="L126" s="25">
        <v>16.050477085887099</v>
      </c>
      <c r="M126" s="26">
        <v>86044403.017811507</v>
      </c>
      <c r="N126" s="26">
        <v>107493092.325196</v>
      </c>
      <c r="O126" s="126">
        <f t="shared" si="10"/>
        <v>96768747.671503752</v>
      </c>
      <c r="P126" s="127">
        <f t="shared" si="12"/>
        <v>19353749534.300751</v>
      </c>
      <c r="Q126" s="128">
        <f t="shared" si="13"/>
        <v>226290830.09027374</v>
      </c>
      <c r="R126" s="24">
        <f t="shared" si="11"/>
        <v>8.3546669555372208</v>
      </c>
      <c r="S126" s="67"/>
    </row>
    <row r="127" spans="1:19" s="100" customFormat="1" x14ac:dyDescent="0.2">
      <c r="A127" s="23">
        <v>109</v>
      </c>
      <c r="B127" s="27" t="s">
        <v>97</v>
      </c>
      <c r="C127" s="125" t="s">
        <v>25</v>
      </c>
      <c r="D127" s="23">
        <v>9.61</v>
      </c>
      <c r="E127" s="27">
        <v>0.19409999999999999</v>
      </c>
      <c r="F127" s="23">
        <v>35</v>
      </c>
      <c r="G127" s="23"/>
      <c r="H127" s="24">
        <v>212.81100000000001</v>
      </c>
      <c r="I127" s="24">
        <v>1.948</v>
      </c>
      <c r="J127" s="24">
        <v>1.381</v>
      </c>
      <c r="K127" s="25">
        <v>11.919494385550101</v>
      </c>
      <c r="L127" s="25">
        <v>11.5448058690663</v>
      </c>
      <c r="M127" s="26">
        <v>1023719321.02966</v>
      </c>
      <c r="N127" s="26">
        <v>734555030.99881995</v>
      </c>
      <c r="O127" s="126">
        <f t="shared" si="10"/>
        <v>879137176.01424003</v>
      </c>
      <c r="P127" s="127">
        <f t="shared" si="12"/>
        <v>175827435202.84799</v>
      </c>
      <c r="Q127" s="128">
        <f t="shared" si="13"/>
        <v>826214035.94197667</v>
      </c>
      <c r="R127" s="24">
        <f t="shared" si="11"/>
        <v>8.9170925686124516</v>
      </c>
    </row>
    <row r="128" spans="1:19" s="100" customFormat="1" x14ac:dyDescent="0.2">
      <c r="A128" s="23">
        <v>135</v>
      </c>
      <c r="B128" s="27" t="s">
        <v>97</v>
      </c>
      <c r="C128" s="125" t="s">
        <v>28</v>
      </c>
      <c r="D128" s="23">
        <v>10.75</v>
      </c>
      <c r="E128" s="27">
        <v>0.23230000000000001</v>
      </c>
      <c r="F128" s="23">
        <v>35</v>
      </c>
      <c r="G128" s="23"/>
      <c r="H128" s="24">
        <v>94.599000000000004</v>
      </c>
      <c r="I128" s="24">
        <v>1.8640000000000001</v>
      </c>
      <c r="J128" s="24">
        <v>1.0569999999999999</v>
      </c>
      <c r="K128" s="25">
        <v>13.2730627222638</v>
      </c>
      <c r="L128" s="25">
        <v>13.3672932531051</v>
      </c>
      <c r="M128" s="26">
        <v>490162900.53751302</v>
      </c>
      <c r="N128" s="26">
        <v>347917895.49241</v>
      </c>
      <c r="O128" s="126">
        <f t="shared" si="10"/>
        <v>419040398.01496148</v>
      </c>
      <c r="P128" s="127">
        <f t="shared" si="12"/>
        <v>83808079602.992294</v>
      </c>
      <c r="Q128" s="128">
        <f t="shared" si="13"/>
        <v>885929868.21205604</v>
      </c>
      <c r="R128" s="24">
        <f t="shared" si="11"/>
        <v>8.9473993437222354</v>
      </c>
    </row>
    <row r="129" spans="1:18" s="100" customFormat="1" x14ac:dyDescent="0.2">
      <c r="A129" s="23">
        <v>151</v>
      </c>
      <c r="B129" s="27" t="s">
        <v>97</v>
      </c>
      <c r="C129" s="125" t="s">
        <v>26</v>
      </c>
      <c r="D129" s="23">
        <v>9.1</v>
      </c>
      <c r="E129" s="27">
        <v>0.1671</v>
      </c>
      <c r="F129" s="23">
        <v>33</v>
      </c>
      <c r="G129" s="23"/>
      <c r="H129" s="24">
        <v>47.491999999999997</v>
      </c>
      <c r="I129" s="24">
        <v>1.9610000000000001</v>
      </c>
      <c r="J129" s="24">
        <v>0.90700000000000003</v>
      </c>
      <c r="K129" s="25">
        <v>15.7847063265472</v>
      </c>
      <c r="L129" s="25">
        <v>15.9091867290918</v>
      </c>
      <c r="M129" s="26">
        <v>110507594.91553099</v>
      </c>
      <c r="N129" s="26">
        <v>87970738.338125199</v>
      </c>
      <c r="O129" s="126">
        <f t="shared" si="10"/>
        <v>99239166.626828104</v>
      </c>
      <c r="P129" s="127">
        <f t="shared" si="12"/>
        <v>19847833325.36562</v>
      </c>
      <c r="Q129" s="128">
        <f t="shared" si="13"/>
        <v>417919509.08291125</v>
      </c>
      <c r="R129" s="24">
        <f t="shared" si="11"/>
        <v>8.6210926451069998</v>
      </c>
    </row>
    <row r="130" spans="1:18" s="100" customFormat="1" x14ac:dyDescent="0.2">
      <c r="A130" s="23">
        <v>177</v>
      </c>
      <c r="B130" s="27" t="s">
        <v>97</v>
      </c>
      <c r="C130" s="125" t="s">
        <v>10</v>
      </c>
      <c r="D130" s="23">
        <v>10.33</v>
      </c>
      <c r="E130" s="23">
        <v>0.16919999999999999</v>
      </c>
      <c r="F130" s="23">
        <v>34</v>
      </c>
      <c r="G130" s="23" t="s">
        <v>63</v>
      </c>
      <c r="H130" s="24">
        <v>41.801000000000002</v>
      </c>
      <c r="I130" s="24">
        <v>1.7689999999999999</v>
      </c>
      <c r="J130" s="24">
        <v>0.67300000000000004</v>
      </c>
      <c r="K130" s="25">
        <v>13.2122155953562</v>
      </c>
      <c r="L130" s="25">
        <v>13.237781061189599</v>
      </c>
      <c r="M130" s="26">
        <v>402719311.40831703</v>
      </c>
      <c r="N130" s="26">
        <v>396058710.80782503</v>
      </c>
      <c r="O130" s="126">
        <f t="shared" si="10"/>
        <v>399389011.10807103</v>
      </c>
      <c r="P130" s="127">
        <f>O130*200</f>
        <v>79877802221.614212</v>
      </c>
      <c r="Q130" s="128">
        <f t="shared" si="13"/>
        <v>1910906490.7924261</v>
      </c>
      <c r="R130" s="24">
        <f t="shared" si="11"/>
        <v>9.2812394356021262</v>
      </c>
    </row>
    <row r="131" spans="1:18" s="100" customFormat="1" x14ac:dyDescent="0.2">
      <c r="A131" s="23">
        <v>183</v>
      </c>
      <c r="B131" s="27" t="s">
        <v>97</v>
      </c>
      <c r="C131" s="125" t="s">
        <v>8</v>
      </c>
      <c r="D131" s="23">
        <v>9.59</v>
      </c>
      <c r="E131" s="23">
        <v>0.17230000000000001</v>
      </c>
      <c r="F131" s="23">
        <v>33</v>
      </c>
      <c r="G131" s="23"/>
      <c r="H131" s="24">
        <v>41.234000000000002</v>
      </c>
      <c r="I131" s="24">
        <v>1.8420000000000001</v>
      </c>
      <c r="J131" s="24">
        <v>0.66200000000000003</v>
      </c>
      <c r="K131" s="25">
        <v>17.330201542862799</v>
      </c>
      <c r="L131" s="25">
        <v>17.324411079964602</v>
      </c>
      <c r="M131" s="26">
        <v>30977545.575061999</v>
      </c>
      <c r="N131" s="26">
        <v>32730134.2084141</v>
      </c>
      <c r="O131" s="126">
        <f t="shared" si="10"/>
        <v>31853839.89173805</v>
      </c>
      <c r="P131" s="127">
        <f t="shared" si="12"/>
        <v>6370767978.3476095</v>
      </c>
      <c r="Q131" s="128">
        <f t="shared" si="13"/>
        <v>154502788.4354564</v>
      </c>
      <c r="R131" s="24">
        <f t="shared" si="11"/>
        <v>8.1889363218916227</v>
      </c>
    </row>
    <row r="132" spans="1:18" s="100" customFormat="1" x14ac:dyDescent="0.2">
      <c r="A132" s="23">
        <v>196</v>
      </c>
      <c r="B132" s="27" t="s">
        <v>97</v>
      </c>
      <c r="C132" s="125" t="s">
        <v>15</v>
      </c>
      <c r="D132" s="23">
        <v>9.89</v>
      </c>
      <c r="E132" s="23">
        <v>0.23200000000000001</v>
      </c>
      <c r="F132" s="23">
        <v>33</v>
      </c>
      <c r="G132" s="23"/>
      <c r="H132" s="24">
        <v>79.156000000000006</v>
      </c>
      <c r="I132" s="24">
        <v>1.8240000000000001</v>
      </c>
      <c r="J132" s="24">
        <v>0.90800000000000003</v>
      </c>
      <c r="K132" s="25">
        <v>13.0262961796788</v>
      </c>
      <c r="L132" s="25">
        <v>13.021320961637199</v>
      </c>
      <c r="M132" s="26">
        <v>454647497.96690601</v>
      </c>
      <c r="N132" s="26">
        <v>456125467.593032</v>
      </c>
      <c r="O132" s="126">
        <f t="shared" ref="O132:O139" si="14">AVERAGE(M132:N132)</f>
        <v>455386482.77996898</v>
      </c>
      <c r="P132" s="127">
        <f t="shared" si="12"/>
        <v>91077296555.99379</v>
      </c>
      <c r="Q132" s="128">
        <f t="shared" si="13"/>
        <v>1150605090.6563468</v>
      </c>
      <c r="R132" s="24">
        <f>LOG(Q132)</f>
        <v>9.0609262911557327</v>
      </c>
    </row>
    <row r="133" spans="1:18" s="100" customFormat="1" x14ac:dyDescent="0.2">
      <c r="A133" s="129">
        <v>197</v>
      </c>
      <c r="B133" s="130" t="s">
        <v>97</v>
      </c>
      <c r="C133" s="131" t="s">
        <v>13</v>
      </c>
      <c r="D133" s="28" t="s">
        <v>67</v>
      </c>
      <c r="E133" s="29"/>
      <c r="F133" s="29"/>
      <c r="G133" s="30"/>
      <c r="H133" s="31"/>
      <c r="I133" s="31"/>
      <c r="J133" s="31"/>
      <c r="K133" s="31"/>
      <c r="L133" s="31"/>
      <c r="M133" s="32"/>
      <c r="N133" s="32"/>
      <c r="O133" s="71" t="e">
        <f t="shared" si="14"/>
        <v>#DIV/0!</v>
      </c>
      <c r="P133" s="93" t="e">
        <f t="shared" si="12"/>
        <v>#DIV/0!</v>
      </c>
      <c r="Q133" s="72" t="e">
        <f t="shared" si="13"/>
        <v>#DIV/0!</v>
      </c>
      <c r="R133" s="31"/>
    </row>
    <row r="134" spans="1:18" s="100" customFormat="1" x14ac:dyDescent="0.2">
      <c r="A134" s="23">
        <v>206</v>
      </c>
      <c r="B134" s="27" t="s">
        <v>97</v>
      </c>
      <c r="C134" s="125" t="s">
        <v>33</v>
      </c>
      <c r="D134" s="23">
        <v>11.11</v>
      </c>
      <c r="E134" s="23">
        <v>0.29759999999999998</v>
      </c>
      <c r="F134" s="23">
        <v>34</v>
      </c>
      <c r="G134" s="23"/>
      <c r="H134" s="24">
        <v>188.07499999999999</v>
      </c>
      <c r="I134" s="24">
        <v>1.9319999999999999</v>
      </c>
      <c r="J134" s="24">
        <v>1.294</v>
      </c>
      <c r="K134" s="25">
        <v>11.791809660627001</v>
      </c>
      <c r="L134" s="25">
        <v>12.34</v>
      </c>
      <c r="M134" s="26">
        <v>891758654.40190804</v>
      </c>
      <c r="N134" s="26">
        <v>589877655.27654505</v>
      </c>
      <c r="O134" s="126">
        <f t="shared" si="14"/>
        <v>740818154.83922648</v>
      </c>
      <c r="P134" s="127">
        <f t="shared" si="12"/>
        <v>148163630967.84531</v>
      </c>
      <c r="Q134" s="128">
        <f t="shared" si="13"/>
        <v>787790142.05952585</v>
      </c>
      <c r="R134" s="24">
        <f t="shared" si="11"/>
        <v>8.8964105420025241</v>
      </c>
    </row>
    <row r="135" spans="1:18" s="100" customFormat="1" x14ac:dyDescent="0.2">
      <c r="A135" s="23">
        <v>221</v>
      </c>
      <c r="B135" s="27" t="s">
        <v>97</v>
      </c>
      <c r="C135" s="125" t="s">
        <v>23</v>
      </c>
      <c r="D135" s="23">
        <v>10.75</v>
      </c>
      <c r="E135" s="23">
        <v>0.25240000000000001</v>
      </c>
      <c r="F135" s="23">
        <v>33</v>
      </c>
      <c r="G135" s="23"/>
      <c r="H135" s="24">
        <v>136.30099999999999</v>
      </c>
      <c r="I135" s="24">
        <v>2.0129999999999999</v>
      </c>
      <c r="J135" s="24">
        <v>1.4570000000000001</v>
      </c>
      <c r="K135" s="25">
        <v>12.464738511376</v>
      </c>
      <c r="L135" s="25">
        <v>12.47</v>
      </c>
      <c r="M135" s="26">
        <v>1177571748.4307799</v>
      </c>
      <c r="N135" s="26">
        <v>705143281.62072098</v>
      </c>
      <c r="O135" s="126">
        <f t="shared" si="14"/>
        <v>941357515.0257504</v>
      </c>
      <c r="P135" s="127">
        <f t="shared" si="12"/>
        <v>188271503005.15009</v>
      </c>
      <c r="Q135" s="128">
        <f t="shared" si="13"/>
        <v>1381292162.2376218</v>
      </c>
      <c r="R135" s="24">
        <f t="shared" si="11"/>
        <v>9.1402855475342957</v>
      </c>
    </row>
    <row r="136" spans="1:18" s="100" customFormat="1" x14ac:dyDescent="0.2">
      <c r="A136" s="23">
        <v>234</v>
      </c>
      <c r="B136" s="27" t="s">
        <v>97</v>
      </c>
      <c r="C136" s="125" t="s">
        <v>33</v>
      </c>
      <c r="D136" s="23">
        <v>10.47</v>
      </c>
      <c r="E136" s="23">
        <v>0.2215</v>
      </c>
      <c r="F136" s="23">
        <v>35</v>
      </c>
      <c r="G136" s="23"/>
      <c r="H136" s="24">
        <v>106.75</v>
      </c>
      <c r="I136" s="24">
        <v>1.901</v>
      </c>
      <c r="J136" s="24">
        <v>1.0209999999999999</v>
      </c>
      <c r="K136" s="25">
        <v>13.7920502668469</v>
      </c>
      <c r="L136" s="25">
        <v>14.17</v>
      </c>
      <c r="M136" s="26">
        <v>282788670.02637398</v>
      </c>
      <c r="N136" s="26">
        <v>228379126.977981</v>
      </c>
      <c r="O136" s="126">
        <f t="shared" si="14"/>
        <v>255583898.50217748</v>
      </c>
      <c r="P136" s="127">
        <f t="shared" si="12"/>
        <v>51116779700.435493</v>
      </c>
      <c r="Q136" s="128">
        <f t="shared" si="13"/>
        <v>478845711.47948939</v>
      </c>
      <c r="R136" s="24">
        <f t="shared" si="11"/>
        <v>8.6801956022517217</v>
      </c>
    </row>
    <row r="137" spans="1:18" s="100" customFormat="1" x14ac:dyDescent="0.2">
      <c r="A137" s="23">
        <v>241</v>
      </c>
      <c r="B137" s="27" t="s">
        <v>97</v>
      </c>
      <c r="C137" s="125" t="s">
        <v>8</v>
      </c>
      <c r="D137" s="23">
        <v>9.86</v>
      </c>
      <c r="E137" s="23">
        <v>0.17910000000000001</v>
      </c>
      <c r="F137" s="23">
        <v>32</v>
      </c>
      <c r="G137" s="23" t="s">
        <v>63</v>
      </c>
      <c r="H137" s="24">
        <v>8.8819999999999997</v>
      </c>
      <c r="I137" s="24">
        <v>1.67</v>
      </c>
      <c r="J137" s="24">
        <v>0.25600000000000001</v>
      </c>
      <c r="K137" s="25">
        <v>22.508863111985001</v>
      </c>
      <c r="L137" s="25">
        <v>22.1050313664201</v>
      </c>
      <c r="M137" s="26">
        <v>935821.98388241103</v>
      </c>
      <c r="N137" s="26">
        <v>1217872.3560460899</v>
      </c>
      <c r="O137" s="126">
        <f t="shared" si="14"/>
        <v>1076847.1699642504</v>
      </c>
      <c r="P137" s="127">
        <f t="shared" si="12"/>
        <v>215369433.9928501</v>
      </c>
      <c r="Q137" s="128">
        <f t="shared" si="13"/>
        <v>24247853.410588842</v>
      </c>
      <c r="R137" s="24">
        <f t="shared" si="11"/>
        <v>7.3846732978578826</v>
      </c>
    </row>
    <row r="138" spans="1:18" s="100" customFormat="1" x14ac:dyDescent="0.2">
      <c r="A138" s="23">
        <v>262</v>
      </c>
      <c r="B138" s="27" t="s">
        <v>97</v>
      </c>
      <c r="C138" s="125" t="s">
        <v>29</v>
      </c>
      <c r="D138" s="23">
        <v>9.8800000000000008</v>
      </c>
      <c r="E138" s="23">
        <v>0.17899999999999999</v>
      </c>
      <c r="F138" s="23">
        <v>31</v>
      </c>
      <c r="G138" s="23"/>
      <c r="H138" s="24">
        <v>30.350999999999999</v>
      </c>
      <c r="I138" s="24">
        <v>1.7949999999999999</v>
      </c>
      <c r="J138" s="24">
        <v>0.52500000000000002</v>
      </c>
      <c r="K138" s="25">
        <v>18.339761519683599</v>
      </c>
      <c r="L138" s="25">
        <v>18.398564536346498</v>
      </c>
      <c r="M138" s="26">
        <v>14201383.4684128</v>
      </c>
      <c r="N138" s="26">
        <v>13666941.1268006</v>
      </c>
      <c r="O138" s="126">
        <f t="shared" si="14"/>
        <v>13934162.297606699</v>
      </c>
      <c r="P138" s="127">
        <f t="shared" si="12"/>
        <v>2786832459.5213399</v>
      </c>
      <c r="Q138" s="128">
        <f t="shared" si="13"/>
        <v>91820119.914379761</v>
      </c>
      <c r="R138" s="24">
        <f t="shared" si="11"/>
        <v>7.96293785560621</v>
      </c>
    </row>
    <row r="139" spans="1:18" s="100" customFormat="1" x14ac:dyDescent="0.2">
      <c r="A139" s="23">
        <v>266</v>
      </c>
      <c r="B139" s="27" t="s">
        <v>97</v>
      </c>
      <c r="C139" s="125" t="s">
        <v>10</v>
      </c>
      <c r="D139" s="23">
        <v>9.11</v>
      </c>
      <c r="E139" s="23">
        <v>0.19359999999999999</v>
      </c>
      <c r="F139" s="23">
        <v>34</v>
      </c>
      <c r="G139" s="23" t="s">
        <v>68</v>
      </c>
      <c r="H139" s="24">
        <v>87.656999999999996</v>
      </c>
      <c r="I139" s="24">
        <v>1.851</v>
      </c>
      <c r="J139" s="24">
        <v>0.82599999999999996</v>
      </c>
      <c r="K139" s="25">
        <v>13.9147750239744</v>
      </c>
      <c r="L139" s="25">
        <v>13.996834908421601</v>
      </c>
      <c r="M139" s="26">
        <v>254660834.14104599</v>
      </c>
      <c r="N139" s="26">
        <v>241387058.88297999</v>
      </c>
      <c r="O139" s="126">
        <f t="shared" si="14"/>
        <v>248023946.51201299</v>
      </c>
      <c r="P139" s="127">
        <f t="shared" si="12"/>
        <v>49604789302.402596</v>
      </c>
      <c r="Q139" s="128">
        <f t="shared" si="13"/>
        <v>565896497.74008465</v>
      </c>
      <c r="R139" s="24">
        <f t="shared" si="11"/>
        <v>8.7527370061515111</v>
      </c>
    </row>
  </sheetData>
  <mergeCells count="3">
    <mergeCell ref="D17:F17"/>
    <mergeCell ref="D45:G46"/>
    <mergeCell ref="D83:G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Excretion</vt:lpstr>
      <vt:lpstr>FV3 TTD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Tuthill</dc:creator>
  <cp:lastModifiedBy>ZACHARY GAJEWSKI</cp:lastModifiedBy>
  <dcterms:created xsi:type="dcterms:W3CDTF">2025-03-24T20:39:48Z</dcterms:created>
  <dcterms:modified xsi:type="dcterms:W3CDTF">2025-08-01T16:22:08Z</dcterms:modified>
</cp:coreProperties>
</file>